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0019e74ee45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ership Summary" sheetId="1" r:id="Rc89e90c73d8349ac"/>
    <x:sheet xmlns:r="http://schemas.openxmlformats.org/officeDocument/2006/relationships" name="CAPA Register" sheetId="2" r:id="Rcf650db64de64a2f"/>
    <x:sheet xmlns:r="http://schemas.openxmlformats.org/officeDocument/2006/relationships" name="Lists" sheetId="3" r:id="R4c0d18ca18ca41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20"/>
      <x:color rgb="FFFFFFFF"/>
      <x:name val="Aptos Display"/>
    </x:font>
    <x:font>
      <x:i/>
      <x:sz val="10"/>
      <x:color rgb="FF66758E"/>
      <x:name val="Aptos"/>
    </x:font>
    <x:font>
      <x:b/>
      <x:sz val="8"/>
      <x:color rgb="FFC68619"/>
      <x:name val="Aptos"/>
    </x:font>
    <x:font>
      <x:b/>
      <x:sz val="9"/>
      <x:color rgb="FFFFFFFF"/>
      <x:name val="Aptos"/>
    </x:font>
    <x:font>
      <x:sz val="9"/>
      <x:color rgb="FF182033"/>
      <x:name val="Aptos"/>
    </x:font>
    <x:font>
      <x:b/>
      <x:sz val="16"/>
      <x:color rgb="FF0B2545"/>
      <x:name val="Aptos Display"/>
    </x:font>
    <x:font>
      <x:sz val="11"/>
      <x:color rgb="FF182033"/>
      <x:name val="Aptos"/>
    </x:font>
    <x:font>
      <x:i/>
      <x:sz val="9"/>
      <x:color rgb="FF66758E"/>
      <x:name val="Aptos"/>
    </x:font>
    <x:font>
      <x:sz val="9"/>
      <x:color rgb="FF66758E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F0FB"/>
      </x:patternFill>
    </x:fill>
    <x:fill>
      <x:patternFill patternType="solid">
        <x:fgColor rgb="FF1457C9"/>
      </x:patternFill>
    </x:fill>
    <x:fill>
      <x:patternFill patternType="solid">
        <x:fgColor rgb="FFFFF5DE"/>
      </x:patternFill>
    </x:fill>
    <x:fill>
      <x:patternFill patternType="solid">
        <x:fgColor rgb="FFF4F7FB"/>
      </x:patternFill>
    </x:fill>
  </x:fills>
  <x:borders count="14">
    <x:border/>
    <x:border>
      <x:left style="thin">
        <x:color rgb="FF0B2545"/>
      </x:left>
      <x:top style="thin">
        <x:color rgb="FF0B2545"/>
      </x:top>
      <x:bottom style="thin">
        <x:color rgb="FF0B2545"/>
      </x:bottom>
    </x:border>
    <x:border>
      <x:right style="thin">
        <x:color rgb="FF0B2545"/>
      </x:right>
      <x:top style="thin">
        <x:color rgb="FF0B2545"/>
      </x:top>
      <x:bottom style="thin">
        <x:color rgb="FF0B2545"/>
      </x:bottom>
    </x:border>
    <x:border>
      <x:bottom style="thin">
        <x:color rgb="FFD7E0EC"/>
      </x:bottom>
    </x:border>
    <x:border>
      <x:top style="thin">
        <x:color rgb="FFD7E0EC"/>
      </x:top>
      <x:bottom style="thin">
        <x:color rgb="FFD7E0EC"/>
      </x:bottom>
    </x:border>
    <x:border>
      <x:top style="thin">
        <x:color rgb="FF0B2545"/>
      </x:top>
      <x:bottom style="thin">
        <x:color rgb="FF0B2545"/>
      </x:bottom>
    </x:border>
    <x:border>
      <x:left style="thin">
        <x:color rgb="FFC68619"/>
      </x:left>
      <x:top style="thin">
        <x:color rgb="FFC68619"/>
      </x:top>
    </x:border>
    <x:border>
      <x:top style="thin">
        <x:color rgb="FFC68619"/>
      </x:top>
    </x:border>
    <x:border>
      <x:right style="thin">
        <x:color rgb="FFC68619"/>
      </x:right>
      <x:top style="thin">
        <x:color rgb="FFC68619"/>
      </x:top>
    </x:border>
    <x:border>
      <x:left style="thin">
        <x:color rgb="FFC68619"/>
      </x:left>
    </x:border>
    <x:border>
      <x:right style="thin">
        <x:color rgb="FFC68619"/>
      </x:right>
    </x:border>
    <x:border>
      <x:left style="thin">
        <x:color rgb="FFC68619"/>
      </x:left>
      <x:bottom style="thin">
        <x:color rgb="FFC68619"/>
      </x:bottom>
    </x:border>
    <x:border>
      <x:bottom style="thin">
        <x:color rgb="FFC68619"/>
      </x:bottom>
    </x:border>
    <x:border>
      <x:right style="thin">
        <x:color rgb="FFC68619"/>
      </x:right>
      <x:bottom style="thin">
        <x:color rgb="FFC68619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left" wrapText="1"/>
    </x:xf>
    <x:xf numFmtId="0" fontId="4" fillId="4" borderId="2" xfId="0" applyNumberFormat="1" applyFont="1" applyFill="1" applyBorder="1" applyAlignment="1">
      <x:alignment horizontal="left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4" fillId="4" borderId="2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6" fillId="3" borderId="3" xfId="0" applyNumberFormat="1" applyFont="1" applyFill="1" applyBorder="1" applyAlignment="1">
      <x:alignment vertical="top" wrapText="1"/>
    </x:xf>
    <x:xf numFmtId="0" fontId="6" fillId="3" borderId="4" xfId="0" applyNumberFormat="1" applyFont="1" applyFill="1" applyBorder="1" applyAlignment="1">
      <x:alignment vertical="top" wrapText="1"/>
    </x:xf>
    <x:xf numFmtId="0" fontId="6" fillId="3" borderId="3" xfId="0" applyNumberFormat="1" applyFont="1" applyFill="1" applyBorder="1" applyAlignment="1">
      <x:alignment horizontal="center" vertical="top" wrapText="1"/>
    </x:xf>
    <x:xf numFmtId="0" fontId="6" fillId="3" borderId="4" xfId="0" applyNumberFormat="1" applyFont="1" applyFill="1" applyBorder="1" applyAlignment="1">
      <x:alignment horizontal="center" vertical="top" wrapText="1"/>
    </x:xf>
    <x:xf numFmtId="0" fontId="4" fillId="4" borderId="5" xfId="0" applyNumberFormat="1" applyFont="1" applyFill="1" applyBorder="1"/>
    <x:xf numFmtId="0" fontId="4" fillId="4" borderId="5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horizontal="left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0" fontId="7" fillId="5" borderId="6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7" fillId="5" borderId="13" xfId="0" applyNumberFormat="1" applyFont="1" applyFill="1" applyBorder="1" applyAlignment="1">
      <x:alignment wrapText="1"/>
    </x:xf>
    <x:xf numFmtId="0" fontId="7" fillId="5" borderId="6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10" xfId="0" applyNumberFormat="1" applyFont="1" applyFill="1" applyBorder="1" applyAlignment="1">
      <x:alignment vertical="center" wrapText="1"/>
    </x:xf>
    <x:xf numFmtId="0" fontId="7" fillId="5" borderId="11" xfId="0" applyNumberFormat="1" applyFont="1" applyFill="1" applyBorder="1" applyAlignment="1">
      <x:alignment vertical="center" wrapText="1"/>
    </x:xf>
    <x:xf numFmtId="0" fontId="7" fillId="5" borderId="12" xfId="0" applyNumberFormat="1" applyFont="1" applyFill="1" applyBorder="1" applyAlignment="1">
      <x:alignment vertical="center" wrapText="1"/>
    </x:xf>
    <x:xf numFmtId="0" fontId="7" fillId="5" borderId="13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200" fontId="5" fillId="0" borderId="3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B42318"/>
      </x:font>
      <x:fill>
        <x:patternFill patternType="solid">
          <x:bgColor rgb="FFFCECEA"/>
        </x:patternFill>
      </x:fill>
    </x:dxf>
    <x:dxf>
      <x:font>
        <x:b/>
        <x:color rgb="FF158365"/>
      </x:font>
      <x:fill>
        <x:patternFill patternType="solid">
          <x:bgColor rgb="FFE8F7F1"/>
        </x:patternFill>
      </x:fill>
    </x:dxf>
    <x:dxf>
      <x:font>
        <x:b/>
        <x:color rgb="FF158365"/>
      </x:font>
      <x:fill>
        <x:patternFill patternType="solid">
          <x:bgColor rgb="FFE8F7F1"/>
        </x:patternFill>
      </x:fill>
    </x:dxf>
    <x:dxf>
      <x:font>
        <x:b/>
        <x:color rgb="FFC68619"/>
      </x:font>
      <x:fill>
        <x:patternFill patternType="solid">
          <x:bgColor rgb="FFFFF5DE"/>
        </x:patternFill>
      </x:fill>
    </x:dxf>
    <x:dxf>
      <x:font>
        <x:b/>
        <x:color rgb="FFB42318"/>
      </x:font>
      <x:fill>
        <x:patternFill patternType="solid">
          <x:bgColor rgb="FFFC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5f508545d431b" /><Relationship Type="http://schemas.openxmlformats.org/officeDocument/2006/relationships/theme" Target="/xl/theme/theme1.xml" Id="R419104dc1a16490f" /><Relationship Type="http://schemas.openxmlformats.org/officeDocument/2006/relationships/sharedStrings" Target="/xl/sharedStrings.xml" Id="R3183cf6dfaf5477f" /><Relationship Type="http://schemas.openxmlformats.org/officeDocument/2006/relationships/worksheet" Target="/xl/worksheets/sheet1.xml" Id="Rc89e90c73d8349ac" /><Relationship Type="http://schemas.openxmlformats.org/officeDocument/2006/relationships/worksheet" Target="/xl/worksheets/sheet2.xml" Id="Rcf650db64de64a2f" /><Relationship Type="http://schemas.openxmlformats.org/officeDocument/2006/relationships/worksheet" Target="/xl/worksheets/sheet3.xml" Id="R4c0d18ca18ca41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4" customHeight="1">
      <x:c r="A1" s="3" t="str">
        <x:v>Northstar Corrective Action — Leadership Summary</x:v>
      </x:c>
    </x:row>
    <x:row r="2" ht="26" customHeight="1">
      <x:c r="A2" s="6" t="str">
        <x:v>Status date: 16 July 2026 • Source of truth: CAPA Register tab</x:v>
      </x:c>
    </x:row>
    <x:row r="3" ht="20" customHeight="1">
      <x:c r="A3" s="8" t="str">
        <x:v>SYNTHETIC VALIDATION EVIDENCE • Fictional company • No real customer or employee data</x:v>
      </x:c>
    </x:row>
    <x:row r="5" ht="30" customHeight="1">
      <x:c r="A5" s="17" t="str">
        <x:v>Metric</x:v>
      </x:c>
      <x:c r="B5" s="18" t="str">
        <x:v>Value</x:v>
      </x:c>
      <x:c r="D5" s="17" t="str">
        <x:v>Leadership note</x:v>
      </x:c>
      <x:c r="E5" s="35"/>
      <x:c r="F5" s="35"/>
      <x:c r="G5" s="35"/>
      <x:c r="H5" s="35"/>
      <x:c r="I5" s="35"/>
      <x:c r="J5" s="18"/>
    </x:row>
    <x:row r="6">
      <x:c r="A6" s="24" t="str">
        <x:v>Total CAPA</x:v>
      </x:c>
      <x:c r="B6" s="30" t="n">
        <x:f>COUNTA('CAPA Register'!A7:A200)</x:f>
        <x:v>8</x:v>
      </x:c>
      <x:c r="D6" s="55" t="str">
        <x:v>The management-review minutes reported two overdue items. The live register should be used to confirm the actual count and to identify actions lacking closure evidence or an effectiveness plan.</x:v>
      </x:c>
      <x:c r="E6" s="56"/>
      <x:c r="F6" s="56"/>
      <x:c r="G6" s="56"/>
      <x:c r="H6" s="56"/>
      <x:c r="I6" s="56"/>
      <x:c r="J6" s="57"/>
    </x:row>
    <x:row r="7">
      <x:c r="A7" s="25" t="str">
        <x:v>Open</x:v>
      </x:c>
      <x:c r="B7" s="31" t="n">
        <x:f>COUNTIF('CAPA Register'!G7:G200,"Open")</x:f>
        <x:v>6</x:v>
      </x:c>
      <x:c r="D7" s="58"/>
      <x:c r="E7" s="59"/>
      <x:c r="F7" s="59"/>
      <x:c r="G7" s="59"/>
      <x:c r="H7" s="59"/>
      <x:c r="I7" s="59"/>
      <x:c r="J7" s="60"/>
    </x:row>
    <x:row r="8">
      <x:c r="A8" s="25" t="str">
        <x:v>Overdue open</x:v>
      </x:c>
      <x:c r="B8" s="31" t="n">
        <x:f>COUNTIF('CAPA Register'!Q7:Q200,"&gt;0")</x:f>
        <x:v>4</x:v>
      </x:c>
      <x:c r="D8" s="58"/>
      <x:c r="E8" s="59"/>
      <x:c r="F8" s="59"/>
      <x:c r="G8" s="59"/>
      <x:c r="H8" s="59"/>
      <x:c r="I8" s="59"/>
      <x:c r="J8" s="60"/>
    </x:row>
    <x:row r="9">
      <x:c r="A9" s="25" t="str">
        <x:v>High-risk open</x:v>
      </x:c>
      <x:c r="B9" s="31" t="n">
        <x:f>COUNTIFS('CAPA Register'!E7:E200,"High",'CAPA Register'!G7:G200,"Open")</x:f>
        <x:v>5</x:v>
      </x:c>
      <x:c r="D9" s="58"/>
      <x:c r="E9" s="59"/>
      <x:c r="F9" s="59"/>
      <x:c r="G9" s="59"/>
      <x:c r="H9" s="59"/>
      <x:c r="I9" s="59"/>
      <x:c r="J9" s="60"/>
    </x:row>
    <x:row r="10">
      <x:c r="A10" s="25" t="str">
        <x:v>Closed effective</x:v>
      </x:c>
      <x:c r="B10" s="31" t="n">
        <x:f>COUNTIFS('CAPA Register'!G7:G200,"Closed",'CAPA Register'!N7:N200,"Effective")</x:f>
        <x:v>2</x:v>
      </x:c>
      <x:c r="D10" s="61"/>
      <x:c r="E10" s="62"/>
      <x:c r="F10" s="62"/>
      <x:c r="G10" s="62"/>
      <x:c r="H10" s="62"/>
      <x:c r="I10" s="62"/>
      <x:c r="J10" s="63"/>
    </x:row>
    <x:row r="12">
      <x:c r="A12" s="64" t="str">
        <x:v>This workbook is synthetic validation evidence. Its formulas and status colors are intentionally live so future edits update the summary.</x:v>
      </x:c>
    </x:row>
  </x:sheetData>
  <x:mergeCells>
    <x:mergeCell ref="A1:J1"/>
    <x:mergeCell ref="A2:J2"/>
    <x:mergeCell ref="A3:J3"/>
    <x:mergeCell ref="D5:J5"/>
    <x:mergeCell ref="D6:J10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2" hidden="0" customWidth="1"/>
    <x:col min="4" max="4" width="34" hidden="0" customWidth="1"/>
    <x:col min="5" max="5" width="10" hidden="0" customWidth="1"/>
    <x:col min="6" max="6" width="22" hidden="0" customWidth="1"/>
    <x:col min="7" max="7" width="11" hidden="0" customWidth="1"/>
    <x:col min="8" max="8" width="33" hidden="0" customWidth="1"/>
    <x:col min="9" max="9" width="35" hidden="0" customWidth="1"/>
    <x:col min="10" max="10" width="12" hidden="0" customWidth="1"/>
    <x:col min="11" max="11" width="38" hidden="0" customWidth="1"/>
    <x:col min="12" max="12" width="34" hidden="0" customWidth="1"/>
    <x:col min="13" max="13" width="35" hidden="0" customWidth="1"/>
    <x:col min="14" max="14" width="16" hidden="0" customWidth="1"/>
    <x:col min="15" max="15" width="12" hidden="0" customWidth="1"/>
    <x:col min="16" max="16" width="32" hidden="0" customWidth="1"/>
    <x:col min="17" max="17" width="12" hidden="0" customWidth="1"/>
  </x:cols>
  <x:sheetData>
    <x:row r="1" ht="34" customHeight="1">
      <x:c r="A1" s="3" t="str">
        <x:v>CAPA Action Register</x:v>
      </x:c>
    </x:row>
    <x:row r="2" ht="26" customHeight="1">
      <x:c r="A2" s="6" t="str">
        <x:v>Status date: 16 July 2026 • Edit categorical fields using the drop-downs</x:v>
      </x:c>
    </x:row>
    <x:row r="3" ht="20" customHeight="1">
      <x:c r="A3" s="8" t="str">
        <x:v>SYNTHETIC VALIDATION EVIDENCE • Fictional company • No real customer or employee data</x:v>
      </x:c>
    </x:row>
    <x:row r="5">
      <x:c r="A5" s="66" t="str">
        <x:v>Register owner: Quality Systems Manager • Review cadence: every two weeks • Dates are YYYY-MM-DD</x:v>
      </x:c>
    </x:row>
    <x:row r="6" ht="30" customHeight="1">
      <x:c r="A6" s="17" t="str">
        <x:v>CAPA ID</x:v>
      </x:c>
      <x:c r="B6" s="35" t="str">
        <x:v>Source</x:v>
      </x:c>
      <x:c r="C6" s="35" t="str">
        <x:v>Opened</x:v>
      </x:c>
      <x:c r="D6" s="35" t="str">
        <x:v>Issue / problem</x:v>
      </x:c>
      <x:c r="E6" s="35" t="str">
        <x:v>Risk</x:v>
      </x:c>
      <x:c r="F6" s="35" t="str">
        <x:v>Accountable owner</x:v>
      </x:c>
      <x:c r="G6" s="35" t="str">
        <x:v>Status</x:v>
      </x:c>
      <x:c r="H6" s="35" t="str">
        <x:v>Immediate containment</x:v>
      </x:c>
      <x:c r="I6" s="35" t="str">
        <x:v>Root cause</x:v>
      </x:c>
      <x:c r="J6" s="35" t="str">
        <x:v>Due date</x:v>
      </x:c>
      <x:c r="K6" s="35" t="str">
        <x:v>Correction / corrective action</x:v>
      </x:c>
      <x:c r="L6" s="35" t="str">
        <x:v>Closure evidence</x:v>
      </x:c>
      <x:c r="M6" s="35" t="str">
        <x:v>Effectiveness plan</x:v>
      </x:c>
      <x:c r="N6" s="35" t="str">
        <x:v>Effectiveness result</x:v>
      </x:c>
      <x:c r="O6" s="35" t="str">
        <x:v>Closed date</x:v>
      </x:c>
      <x:c r="P6" s="35" t="str">
        <x:v>Related records</x:v>
      </x:c>
      <x:c r="Q6" s="18" t="str">
        <x:v>Days overdue</x:v>
      </x:c>
    </x:row>
    <x:row r="7" ht="64" customHeight="1">
      <x:c r="A7" s="24" t="str">
        <x:v>C-021</x:v>
      </x:c>
      <x:c r="B7" s="24" t="str">
        <x:v>Internal process</x:v>
      </x:c>
      <x:c r="C7" s="67" t="n">
        <x:v>46056</x:v>
      </x:c>
      <x:c r="D7" s="24" t="str">
        <x:v>Incorrect label template used on internal transfer bins.</x:v>
      </x:c>
      <x:c r="E7" s="24" t="str">
        <x:v>Medium</x:v>
      </x:c>
      <x:c r="F7" s="24" t="str">
        <x:v>Warehouse Manager</x:v>
      </x:c>
      <x:c r="G7" s="24" t="str">
        <x:v>Closed</x:v>
      </x:c>
      <x:c r="H7" s="24" t="str">
        <x:v>Affected bins relabeled before use.</x:v>
      </x:c>
      <x:c r="I7" s="24" t="str">
        <x:v>Template selected by description instead of controlled part number.</x:v>
      </x:c>
      <x:c r="J7" s="67" t="n">
        <x:v>46127</x:v>
      </x:c>
      <x:c r="K7" s="24" t="str">
        <x:v>Key templates to part number; remove obsolete templates; retrain affected users.</x:v>
      </x:c>
      <x:c r="L7" s="24" t="str">
        <x:v>CR-2026-041, access log, and 12 training records attached.</x:v>
      </x:c>
      <x:c r="M7" s="24" t="str">
        <x:v>Review 240 labels over 60 days; zero recurrence required.</x:v>
      </x:c>
      <x:c r="N7" s="24" t="str">
        <x:v>Effective</x:v>
      </x:c>
      <x:c r="O7" s="67" t="n">
        <x:v>46186</x:v>
      </x:c>
      <x:c r="P7" s="24" t="str">
        <x:v>Clean Evidence Packet, Record 2</x:v>
      </x:c>
      <x:c r="Q7" s="24" t="n">
        <x:f>IF(OR(G7="Closed",J7=""),0,MAX(0,DATE(2026,7,16)-J7))</x:f>
        <x:v>0</x:v>
      </x:c>
    </x:row>
    <x:row r="8" ht="64" customHeight="1">
      <x:c r="A8" s="25" t="str">
        <x:v>C-022</x:v>
      </x:c>
      <x:c r="B8" s="25" t="str">
        <x:v>Customer feedback</x:v>
      </x:c>
      <x:c r="C8" s="68" t="n">
        <x:v>46091</x:v>
      </x:c>
      <x:c r="D8" s="25" t="str">
        <x:v>Packing-list contact field occasionally omitted.</x:v>
      </x:c>
      <x:c r="E8" s="25" t="str">
        <x:v>Low</x:v>
      </x:c>
      <x:c r="F8" s="25" t="str">
        <x:v>Customer Service Manager</x:v>
      </x:c>
      <x:c r="G8" s="25" t="str">
        <x:v>Closed</x:v>
      </x:c>
      <x:c r="H8" s="25" t="str">
        <x:v>Manual review added for open shipments.</x:v>
      </x:c>
      <x:c r="I8" s="25" t="str">
        <x:v>Optional ERP field not included in release checklist.</x:v>
      </x:c>
      <x:c r="J8" s="68" t="n">
        <x:v>46150</x:v>
      </x:c>
      <x:c r="K8" s="25" t="str">
        <x:v>Make field mandatory and add release check.</x:v>
      </x:c>
      <x:c r="L8" s="25" t="str">
        <x:v>ERP change EC-1182 and checklist revision attached.</x:v>
      </x:c>
      <x:c r="M8" s="25" t="str">
        <x:v>Sample 50 orders over 30 days; zero omissions.</x:v>
      </x:c>
      <x:c r="N8" s="25" t="str">
        <x:v>Effective</x:v>
      </x:c>
      <x:c r="O8" s="68" t="n">
        <x:v>46172</x:v>
      </x:c>
      <x:c r="P8" s="25" t="str">
        <x:v>ERP EC-1182</x:v>
      </x:c>
      <x:c r="Q8" s="25" t="n">
        <x:f>IF(OR(G8="Closed",J8=""),0,MAX(0,DATE(2026,7,16)-J8))</x:f>
        <x:v>0</x:v>
      </x:c>
    </x:row>
    <x:row r="9" ht="64" customHeight="1">
      <x:c r="A9" s="25" t="str">
        <x:v>C-023</x:v>
      </x:c>
      <x:c r="B9" s="25" t="str">
        <x:v>Process metric</x:v>
      </x:c>
      <x:c r="C9" s="68" t="n">
        <x:v>46175</x:v>
      </x:c>
      <x:c r="D9" s="25" t="str">
        <x:v>Scrap on HX-320 exceeds monthly target.</x:v>
      </x:c>
      <x:c r="E9" s="25" t="str">
        <x:v>Medium</x:v>
      </x:c>
      <x:c r="F9" s="25" t="str">
        <x:v>Machining Manager</x:v>
      </x:c>
      <x:c r="G9" s="25" t="str">
        <x:v>Open</x:v>
      </x:c>
      <x:c r="H9" s="25" t="str">
        <x:v>Daily tool-life review started.</x:v>
      </x:c>
      <x:c r="I9" s="25" t="str">
        <x:v>Tool-change interval may not reflect revised alloy hardness.</x:v>
      </x:c>
      <x:c r="J9" s="68" t="n">
        <x:v>46228</x:v>
      </x:c>
      <x:c r="K9" s="25" t="str">
        <x:v>Run tool-life study and revise interval if supported.</x:v>
      </x:c>
      <x:c r="L9" s="25" t="str"/>
      <x:c r="M9" s="25" t="str">
        <x:v>Compare scrap rate for four weeks after change; target &lt;=2.5%.</x:v>
      </x:c>
      <x:c r="N9" s="25" t="str">
        <x:v>Pending</x:v>
      </x:c>
      <x:c r="O9" s="68"/>
      <x:c r="P9" s="25" t="str">
        <x:v>Scrap dashboard June 2026</x:v>
      </x:c>
      <x:c r="Q9" s="25" t="n">
        <x:f>IF(OR(G9="Closed",J9=""),0,MAX(0,DATE(2026,7,16)-J9))</x:f>
        <x:v>0</x:v>
      </x:c>
    </x:row>
    <x:row r="10" ht="64" customHeight="1">
      <x:c r="A10" s="25" t="str">
        <x:v>C-024</x:v>
      </x:c>
      <x:c r="B10" s="25" t="str">
        <x:v>Supplier SCAR</x:v>
      </x:c>
      <x:c r="C10" s="68" t="n">
        <x:v>46191</x:v>
      </x:c>
      <x:c r="D10" s="25" t="str">
        <x:v>Repeat burr on HX-410 coolant-port sealing surface.</x:v>
      </x:c>
      <x:c r="E10" s="25" t="str">
        <x:v>High</x:v>
      </x:c>
      <x:c r="F10" s="25" t="str">
        <x:v>Supply Chain Manager</x:v>
      </x:c>
      <x:c r="G10" s="25" t="str">
        <x:v>Open</x:v>
      </x:c>
      <x:c r="H10" s="25" t="str">
        <x:v>Lot quarantined; 100% sort for three shipments.</x:v>
      </x:c>
      <x:c r="I10" s="25" t="str">
        <x:v>Supplier states operator inconsistency; supporting analysis not supplied.</x:v>
      </x:c>
      <x:c r="J10" s="68" t="n">
        <x:v>46208</x:v>
      </x:c>
      <x:c r="K10" s="25" t="str">
        <x:v>Obtain verified cause, control-plan change, implementation evidence, and escalation decision.</x:v>
      </x:c>
      <x:c r="L10" s="25" t="str">
        <x:v>Containment logs only.</x:v>
      </x:c>
      <x:c r="M10" s="25" t="str">
        <x:v>No approved sampling duration or acceptance criterion.</x:v>
      </x:c>
      <x:c r="N10" s="25" t="str">
        <x:v>Not started</x:v>
      </x:c>
      <x:c r="O10" s="68"/>
      <x:c r="P10" s="25" t="str">
        <x:v>SCAR-2026-007; prior SCAR-2026-002</x:v>
      </x:c>
      <x:c r="Q10" s="25" t="n">
        <x:f>IF(OR(G10="Closed",J10=""),0,MAX(0,DATE(2026,7,16)-J10))</x:f>
        <x:v>11</x:v>
      </x:c>
    </x:row>
    <x:row r="11" ht="64" customHeight="1">
      <x:c r="A11" s="25" t="str">
        <x:v>C-025</x:v>
      </x:c>
      <x:c r="B11" s="25" t="str">
        <x:v>Training review</x:v>
      </x:c>
      <x:c r="C11" s="68" t="n">
        <x:v>46193</x:v>
      </x:c>
      <x:c r="D11" s="25" t="str">
        <x:v>Revision C training not confirmed for all affected M-14 personnel.</x:v>
      </x:c>
      <x:c r="E11" s="25" t="str">
        <x:v>High</x:v>
      </x:c>
      <x:c r="F11" s="25" t="str">
        <x:v>HR Manager</x:v>
      </x:c>
      <x:c r="G11" s="25" t="str">
        <x:v>Open</x:v>
      </x:c>
      <x:c r="H11" s="25" t="str">
        <x:v>Supervisors asked to pair unverified personnel with qualified staff.</x:v>
      </x:c>
      <x:c r="I11" s="25" t="str">
        <x:v>Affected-population reconciliation was not completed after revision release.</x:v>
      </x:c>
      <x:c r="J11" s="68" t="n">
        <x:v>46211</x:v>
      </x:c>
      <x:c r="K11" s="25" t="str">
        <x:v>Confirm assignment list; train or formally restrict unqualified personnel.</x:v>
      </x:c>
      <x:c r="L11" s="25" t="str">
        <x:v>Partial roster; two required completions blank.</x:v>
      </x:c>
      <x:c r="M11" s="25" t="str">
        <x:v>Observe three independent jobs per affected person after training.</x:v>
      </x:c>
      <x:c r="N11" s="25" t="str">
        <x:v>Not started</x:v>
      </x:c>
      <x:c r="O11" s="68"/>
      <x:c r="P11" s="25" t="str">
        <x:v>Training Matrix; WI-410 Rev C</x:v>
      </x:c>
      <x:c r="Q11" s="25" t="n">
        <x:f>IF(OR(G11="Closed",J11=""),0,MAX(0,DATE(2026,7,16)-J11))</x:f>
        <x:v>8</x:v>
      </x:c>
    </x:row>
    <x:row r="12" ht="64" customHeight="1">
      <x:c r="A12" s="25" t="str">
        <x:v>C-026</x:v>
      </x:c>
      <x:c r="B12" s="25" t="str">
        <x:v>Internal audit IA-26-14</x:v>
      </x:c>
      <x:c r="C12" s="68" t="n">
        <x:v>46197</x:v>
      </x:c>
      <x:c r="D12" s="25" t="str">
        <x:v>Obsolete HX-410 drawing Rev B found at M-14 point of use.</x:v>
      </x:c>
      <x:c r="E12" s="25" t="str">
        <x:v>High</x:v>
      </x:c>
      <x:c r="F12" s="25" t="str">
        <x:v>Quality Systems Manager</x:v>
      </x:c>
      <x:c r="G12" s="25" t="str">
        <x:v>Open</x:v>
      </x:c>
      <x:c r="H12" s="25" t="str">
        <x:v>Rev B packet removed; lot L26-0619 placed under review.</x:v>
      </x:c>
      <x:c r="I12" s="25" t="str">
        <x:v>Shared-drive archive access and shift revision checks not yet fully investigated.</x:v>
      </x:c>
      <x:c r="J12" s="68" t="n">
        <x:v>46213</x:v>
      </x:c>
      <x:c r="K12" s="25" t="str">
        <x:v>Block archive retrieval, complete impact review, verify all points of use, and retrain supervisors.</x:v>
      </x:c>
      <x:c r="L12" s="25" t="str">
        <x:v>Rev B removal note only; product-impact decision absent.</x:v>
      </x:c>
      <x:c r="M12" s="25" t="str">
        <x:v>Audit all production points weekly for four weeks; zero obsolete copies.</x:v>
      </x:c>
      <x:c r="N12" s="25" t="str">
        <x:v>Not started</x:v>
      </x:c>
      <x:c r="O12" s="68"/>
      <x:c r="P12" s="25" t="str">
        <x:v>IA-26-14; CC-2026-014; lot L26-0619</x:v>
      </x:c>
      <x:c r="Q12" s="25" t="n">
        <x:f>IF(OR(G12="Closed",J12=""),0,MAX(0,DATE(2026,7,16)-J12))</x:f>
        <x:v>6</x:v>
      </x:c>
    </x:row>
    <x:row r="13" ht="64" customHeight="1">
      <x:c r="A13" s="25" t="str">
        <x:v>C-027</x:v>
      </x:c>
      <x:c r="B13" s="25" t="str">
        <x:v>Internal audit IA-26-15</x:v>
      </x:c>
      <x:c r="C13" s="68" t="n">
        <x:v>46197</x:v>
      </x:c>
      <x:c r="D13" s="25" t="str">
        <x:v>No completion or approved deferral evidence for PM on HF-1500 and HF-2600.</x:v>
      </x:c>
      <x:c r="E13" s="25" t="str">
        <x:v>High</x:v>
      </x:c>
      <x:c r="F13" s="25" t="str">
        <x:v>Maintenance Manager</x:v>
      </x:c>
      <x:c r="G13" s="25" t="str">
        <x:v>Open</x:v>
      </x:c>
      <x:c r="H13" s="25" t="str">
        <x:v>Operators completed visual checks before continued use.</x:v>
      </x:c>
      <x:c r="I13" s="25" t="str">
        <x:v>CMMS migration cited; whether maintenance occurred is unverified.</x:v>
      </x:c>
      <x:c r="J13" s="68" t="n">
        <x:v>46215</x:v>
      </x:c>
      <x:c r="K13" s="25" t="str">
        <x:v>Reconstruct records, inspect assets, decide disposition, and establish migration reconciliation control.</x:v>
      </x:c>
      <x:c r="L13" s="25" t="str">
        <x:v>No work order, service record, or approved deferral attached.</x:v>
      </x:c>
      <x:c r="M13" s="25" t="str">
        <x:v>Review all migrated PM work orders for two cycles; no missing completions.</x:v>
      </x:c>
      <x:c r="N13" s="25" t="str">
        <x:v>Not started</x:v>
      </x:c>
      <x:c r="O13" s="68"/>
      <x:c r="P13" s="25" t="str">
        <x:v>IA-26-15; PM Records</x:v>
      </x:c>
      <x:c r="Q13" s="25" t="n">
        <x:f>IF(OR(G13="Closed",J13=""),0,MAX(0,DATE(2026,7,16)-J13))</x:f>
        <x:v>4</x:v>
      </x:c>
    </x:row>
    <x:row r="14" ht="64" customHeight="1">
      <x:c r="A14" s="25" t="str">
        <x:v>C-028</x:v>
      </x:c>
      <x:c r="B14" s="25" t="str">
        <x:v>Customer complaint</x:v>
      </x:c>
      <x:c r="C14" s="68" t="n">
        <x:v>46195</x:v>
      </x:c>
      <x:c r="D14" s="25" t="str">
        <x:v>Titan Thermal reported seal leakage on HX-410 lot L26-0619.</x:v>
      </x:c>
      <x:c r="E14" s="25" t="str">
        <x:v>High</x:v>
      </x:c>
      <x:c r="F14" s="25" t="str">
        <x:v>Customer Quality Manager</x:v>
      </x:c>
      <x:c r="G14" s="25" t="str">
        <x:v>Open</x:v>
      </x:c>
      <x:c r="H14" s="25" t="str">
        <x:v>Finished goods held; 100% visual inspection; replacements shipped.</x:v>
      </x:c>
      <x:c r="I14" s="25" t="str">
        <x:v>Investigation open; possible supplier burr, drawing revision, or other contributing factors.</x:v>
      </x:c>
      <x:c r="J14" s="68" t="n">
        <x:v>46232</x:v>
      </x:c>
      <x:c r="K14" s="25" t="str">
        <x:v>Complete controlled cause analysis, product-impact review, and final customer response.</x:v>
      </x:c>
      <x:c r="L14" s="25" t="str">
        <x:v>Containment and returned-unit photos attached; final cause absent.</x:v>
      </x:c>
      <x:c r="M14" s="25" t="str">
        <x:v>Verify three subsequent lots and customer acceptance; criteria not yet approved.</x:v>
      </x:c>
      <x:c r="N14" s="25" t="str">
        <x:v>Pending</x:v>
      </x:c>
      <x:c r="O14" s="68"/>
      <x:c r="P14" s="25" t="str">
        <x:v>CC-2026-014; SCAR-2026-007; IA-26-14</x:v>
      </x:c>
      <x:c r="Q14" s="25" t="n">
        <x:f>IF(OR(G14="Closed",J14=""),0,MAX(0,DATE(2026,7,16)-J14))</x:f>
        <x:v>0</x:v>
      </x:c>
    </x:row>
  </x:sheetData>
  <x:mergeCells>
    <x:mergeCell ref="A1:Q1"/>
    <x:mergeCell ref="A2:Q2"/>
    <x:mergeCell ref="A3:Q3"/>
    <x:mergeCell ref="A5:Q5"/>
  </x:mergeCells>
  <x:conditionalFormatting sqref="G7:G200">
    <x:cfRule type="containsText" dxfId="0" priority="1" operator="containsText" text="Overdue"/>
    <x:cfRule type="containsText" dxfId="1" priority="2" operator="containsText" text="Current"/>
    <x:cfRule type="containsText" dxfId="2" priority="3" operator="containsText" text="Closed"/>
    <x:cfRule type="containsText" dxfId="3" priority="4" operator="containsText" text="Open"/>
  </x:conditionalFormatting>
  <x:conditionalFormatting sqref="Q7:Q200">
    <x:cfRule type="cellIs" dxfId="4" priority="5" operator="greaterThan">
      <x:formula>0</x:formula>
    </x:cfRule>
  </x:conditionalFormatting>
  <x:dataValidations count="3">
    <x:dataValidation type="list" sqref="E7:E200">
      <x:formula1>"High,Medium,Low"</x:formula1>
    </x:dataValidation>
    <x:dataValidation type="list" sqref="G7:G200">
      <x:formula1>"Open,Closed,On Hold"</x:formula1>
    </x:dataValidation>
    <x:dataValidation type="list" sqref="N7:N200">
      <x:formula1>"Not started,Pending,Effective,Ineffective"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</x:cols>
  <x:sheetData>
    <x:row r="1" ht="30" customHeight="1">
      <x:c r="A1" s="17" t="str">
        <x:v>Risk</x:v>
      </x:c>
      <x:c r="B1" s="35" t="str">
        <x:v>Status</x:v>
      </x:c>
      <x:c r="C1" s="18" t="str">
        <x:v>Effectiveness</x:v>
      </x:c>
    </x:row>
    <x:row r="2">
      <x:c r="A2" s="24" t="str">
        <x:v>High</x:v>
      </x:c>
      <x:c r="B2" s="24" t="str">
        <x:v>Open</x:v>
      </x:c>
      <x:c r="C2" s="24" t="str">
        <x:v>Not started</x:v>
      </x:c>
    </x:row>
    <x:row r="3">
      <x:c r="A3" s="25" t="str">
        <x:v>Medium</x:v>
      </x:c>
      <x:c r="B3" s="25" t="str">
        <x:v>Closed</x:v>
      </x:c>
      <x:c r="C3" s="25" t="str">
        <x:v>Pending</x:v>
      </x:c>
    </x:row>
    <x:row r="4">
      <x:c r="A4" s="25" t="str">
        <x:v>Low</x:v>
      </x:c>
      <x:c r="B4" s="25" t="str">
        <x:v>On Hold</x:v>
      </x:c>
      <x:c r="C4" s="25" t="str">
        <x:v>Effective</x:v>
      </x:c>
    </x:row>
    <x:row r="5">
      <x:c r="A5" s="25"/>
      <x:c r="B5" s="25"/>
      <x:c r="C5" s="25" t="str">
        <x:v>Ineffective</x:v>
      </x:c>
    </x:row>
    <x:row r="6">
      <x:c r="A6" s="25"/>
      <x:c r="B6" s="25"/>
      <x:c r="C6" s="25"/>
    </x:row>
  </x:sheetData>
  <x:pageMargins left="0.7" right="0.7" top="0.75" bottom="0.75" header="0.3" footer="0.3"/>
</x:worksheet>
</file>