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1223b207c14b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838670f9f34af7"/>
    <x:sheet xmlns:r="http://schemas.openxmlformats.org/officeDocument/2006/relationships" name="Asset Records" sheetId="2" r:id="R135890dfe7ad42ab"/>
    <x:sheet xmlns:r="http://schemas.openxmlformats.org/officeDocument/2006/relationships" name="Usage Log" sheetId="3" r:id="Rce85a6e351b146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20"/>
      <x:color rgb="FFFFFFFF"/>
      <x:name val="Aptos Display"/>
    </x:font>
    <x:font>
      <x:i/>
      <x:sz val="10"/>
      <x:color rgb="FF66758E"/>
      <x:name val="Aptos"/>
    </x:font>
    <x:font>
      <x:b/>
      <x:sz val="8"/>
      <x:color rgb="FFC68619"/>
      <x:name val="Aptos"/>
    </x:font>
    <x:font>
      <x:b/>
      <x:sz val="9"/>
      <x:color rgb="FFFFFFFF"/>
      <x:name val="Aptos"/>
    </x:font>
    <x:font>
      <x:sz val="9"/>
      <x:color rgb="FF182033"/>
      <x:name val="Aptos"/>
    </x:font>
    <x:font>
      <x:sz val="11"/>
      <x:color rgb="FF182033"/>
      <x:name val="Aptos"/>
    </x:font>
    <x:font>
      <x:sz val="9"/>
      <x:color rgb="FF66758E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F0FB"/>
      </x:patternFill>
    </x:fill>
    <x:fill>
      <x:patternFill patternType="solid">
        <x:fgColor rgb="FF1457C9"/>
      </x:patternFill>
    </x:fill>
    <x:fill>
      <x:patternFill patternType="solid">
        <x:fgColor rgb="FFFFF5DE"/>
      </x:patternFill>
    </x:fill>
    <x:fill>
      <x:patternFill patternType="solid">
        <x:fgColor rgb="FFF4F7FB"/>
      </x:patternFill>
    </x:fill>
  </x:fills>
  <x:borders count="14">
    <x:border/>
    <x:border>
      <x:left style="thin">
        <x:color rgb="FF0B2545"/>
      </x:left>
      <x:top style="thin">
        <x:color rgb="FF0B2545"/>
      </x:top>
      <x:bottom style="thin">
        <x:color rgb="FF0B2545"/>
      </x:bottom>
    </x:border>
    <x:border>
      <x:right style="thin">
        <x:color rgb="FF0B2545"/>
      </x:right>
      <x:top style="thin">
        <x:color rgb="FF0B2545"/>
      </x:top>
      <x:bottom style="thin">
        <x:color rgb="FF0B2545"/>
      </x:bottom>
    </x:border>
    <x:border>
      <x:bottom style="thin">
        <x:color rgb="FFD7E0EC"/>
      </x:bottom>
    </x:border>
    <x:border>
      <x:top style="thin">
        <x:color rgb="FFD7E0EC"/>
      </x:top>
      <x:bottom style="thin">
        <x:color rgb="FFD7E0EC"/>
      </x:bottom>
    </x:border>
    <x:border>
      <x:top style="thin">
        <x:color rgb="FF0B2545"/>
      </x:top>
      <x:bottom style="thin">
        <x:color rgb="FF0B2545"/>
      </x:bottom>
    </x:border>
    <x:border>
      <x:left style="thin">
        <x:color rgb="FFC68619"/>
      </x:left>
      <x:top style="thin">
        <x:color rgb="FFC68619"/>
      </x:top>
    </x:border>
    <x:border>
      <x:top style="thin">
        <x:color rgb="FFC68619"/>
      </x:top>
    </x:border>
    <x:border>
      <x:right style="thin">
        <x:color rgb="FFC68619"/>
      </x:right>
      <x:top style="thin">
        <x:color rgb="FFC68619"/>
      </x:top>
    </x:border>
    <x:border>
      <x:left style="thin">
        <x:color rgb="FFC68619"/>
      </x:left>
    </x:border>
    <x:border>
      <x:right style="thin">
        <x:color rgb="FFC68619"/>
      </x:right>
    </x:border>
    <x:border>
      <x:left style="thin">
        <x:color rgb="FFC68619"/>
      </x:left>
      <x:bottom style="thin">
        <x:color rgb="FFC68619"/>
      </x:bottom>
    </x:border>
    <x:border>
      <x:bottom style="thin">
        <x:color rgb="FFC68619"/>
      </x:bottom>
    </x:border>
    <x:border>
      <x:right style="thin">
        <x:color rgb="FFC68619"/>
      </x:right>
      <x:bottom style="thin">
        <x:color rgb="FFC68619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left" wrapText="1"/>
    </x:xf>
    <x:xf numFmtId="0" fontId="4" fillId="4" borderId="2" xfId="0" applyNumberFormat="1" applyFont="1" applyFill="1" applyBorder="1" applyAlignment="1">
      <x:alignment horizontal="left"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0" fontId="4" fillId="4" borderId="2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4" fillId="4" borderId="5" xfId="0" applyNumberFormat="1" applyFont="1" applyFill="1" applyBorder="1"/>
    <x:xf numFmtId="0" fontId="4" fillId="4" borderId="5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horizontal="left" wrapText="1"/>
    </x:xf>
    <x:xf numFmtId="0" fontId="4" fillId="4" borderId="5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10" xfId="0" applyNumberFormat="1" applyFont="1" applyFill="1" applyBorder="1"/>
    <x:xf numFmtId="0" fontId="6" fillId="5" borderId="11" xfId="0" applyNumberFormat="1" applyFont="1" applyFill="1" applyBorder="1"/>
    <x:xf numFmtId="0" fontId="6" fillId="5" borderId="12" xfId="0" applyNumberFormat="1" applyFont="1" applyFill="1" applyBorder="1"/>
    <x:xf numFmtId="0" fontId="6" fillId="5" borderId="13" xfId="0" applyNumberFormat="1" applyFont="1" applyFill="1" applyBorder="1"/>
    <x:xf numFmtId="0" fontId="6" fillId="5" borderId="6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6" fillId="5" borderId="8" xfId="0" applyNumberFormat="1" applyFont="1" applyFill="1" applyBorder="1" applyAlignment="1">
      <x:alignment wrapText="1"/>
    </x:xf>
    <x:xf numFmtId="0" fontId="6" fillId="5" borderId="9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6" fillId="5" borderId="10" xfId="0" applyNumberFormat="1" applyFont="1" applyFill="1" applyBorder="1" applyAlignment="1">
      <x:alignment wrapText="1"/>
    </x:xf>
    <x:xf numFmtId="0" fontId="6" fillId="5" borderId="11" xfId="0" applyNumberFormat="1" applyFont="1" applyFill="1" applyBorder="1" applyAlignment="1">
      <x:alignment wrapText="1"/>
    </x:xf>
    <x:xf numFmtId="0" fontId="6" fillId="5" borderId="12" xfId="0" applyNumberFormat="1" applyFont="1" applyFill="1" applyBorder="1" applyAlignment="1">
      <x:alignment wrapText="1"/>
    </x:xf>
    <x:xf numFmtId="0" fontId="6" fillId="5" borderId="13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vertical="center" wrapText="1"/>
    </x:xf>
    <x:xf numFmtId="0" fontId="6" fillId="5" borderId="7" xfId="0" applyNumberFormat="1" applyFont="1" applyFill="1" applyBorder="1" applyAlignment="1">
      <x:alignment vertical="center" wrapText="1"/>
    </x:xf>
    <x:xf numFmtId="0" fontId="6" fillId="5" borderId="8" xfId="0" applyNumberFormat="1" applyFont="1" applyFill="1" applyBorder="1" applyAlignment="1">
      <x:alignment vertical="center" wrapText="1"/>
    </x:xf>
    <x:xf numFmtId="0" fontId="6" fillId="5" borderId="9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10" xfId="0" applyNumberFormat="1" applyFont="1" applyFill="1" applyBorder="1" applyAlignment="1">
      <x:alignment vertical="center" wrapText="1"/>
    </x:xf>
    <x:xf numFmtId="0" fontId="6" fillId="5" borderId="11" xfId="0" applyNumberFormat="1" applyFont="1" applyFill="1" applyBorder="1" applyAlignment="1">
      <x:alignment vertical="center" wrapText="1"/>
    </x:xf>
    <x:xf numFmtId="0" fontId="6" fillId="5" borderId="12" xfId="0" applyNumberFormat="1" applyFont="1" applyFill="1" applyBorder="1" applyAlignment="1">
      <x:alignment vertical="center" wrapText="1"/>
    </x:xf>
    <x:xf numFmtId="0" fontId="6" fillId="5" borderId="13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200" fontId="5" fillId="0" borderId="3" xfId="0" applyNumberFormat="1" applyFont="1" applyFill="1" applyBorder="1" applyAlignment="1">
      <x:alignment vertical="top" wrapText="1"/>
    </x:xf>
    <x:xf numFmtId="200" fontId="5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B42318"/>
      </x:font>
      <x:fill>
        <x:patternFill patternType="solid">
          <x:bgColor rgb="FFFCECEA"/>
        </x:patternFill>
      </x:fill>
    </x:dxf>
    <x:dxf>
      <x:font>
        <x:b/>
        <x:color rgb="FF158365"/>
      </x:font>
      <x:fill>
        <x:patternFill patternType="solid">
          <x:bgColor rgb="FFE8F7F1"/>
        </x:patternFill>
      </x:fill>
    </x:dxf>
    <x:dxf>
      <x:font>
        <x:b/>
        <x:color rgb="FF158365"/>
      </x:font>
      <x:fill>
        <x:patternFill patternType="solid">
          <x:bgColor rgb="FFE8F7F1"/>
        </x:patternFill>
      </x:fill>
    </x:dxf>
    <x:dxf>
      <x:font>
        <x:b/>
        <x:color rgb="FFC68619"/>
      </x:font>
      <x:fill>
        <x:patternFill patternType="solid">
          <x:bgColor rgb="FFFFF5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873f55eddb4d75" /><Relationship Type="http://schemas.openxmlformats.org/officeDocument/2006/relationships/theme" Target="/xl/theme/theme1.xml" Id="R72b5ce5b368e4b1e" /><Relationship Type="http://schemas.openxmlformats.org/officeDocument/2006/relationships/sharedStrings" Target="/xl/sharedStrings.xml" Id="R13afdc5a30ce4372" /><Relationship Type="http://schemas.openxmlformats.org/officeDocument/2006/relationships/worksheet" Target="/xl/worksheets/sheet1.xml" Id="R74838670f9f34af7" /><Relationship Type="http://schemas.openxmlformats.org/officeDocument/2006/relationships/worksheet" Target="/xl/worksheets/sheet2.xml" Id="R135890dfe7ad42ab" /><Relationship Type="http://schemas.openxmlformats.org/officeDocument/2006/relationships/worksheet" Target="/xl/worksheets/sheet3.xml" Id="Rce85a6e351b146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3" t="str">
        <x:v>Maintenance and Calibration Summary</x:v>
      </x:c>
    </x:row>
    <x:row r="2" ht="26" customHeight="1">
      <x:c r="A2" s="6" t="str">
        <x:v>Status date: 16 July 2026 • Preventive-maintenance and measurement-equipment status</x:v>
      </x:c>
    </x:row>
    <x:row r="3" ht="20" customHeight="1">
      <x:c r="A3" s="8" t="str">
        <x:v>SYNTHETIC VALIDATION EVIDENCE • Fictional company • No real customer or employee data</x:v>
      </x:c>
    </x:row>
    <x:row r="5" ht="30" customHeight="1">
      <x:c r="A5" s="17" t="str">
        <x:v>Metric</x:v>
      </x:c>
      <x:c r="B5" s="18" t="str">
        <x:v>Value</x:v>
      </x:c>
      <x:c r="D5" s="17" t="str">
        <x:v>Evidence interpretation</x:v>
      </x:c>
      <x:c r="E5" s="29"/>
      <x:c r="F5" s="29"/>
      <x:c r="G5" s="29"/>
      <x:c r="H5" s="18"/>
    </x:row>
    <x:row r="6">
      <x:c r="A6" s="24" t="str">
        <x:v>Assets sampled</x:v>
      </x:c>
      <x:c r="B6" s="24" t="n">
        <x:f>COUNTA('Asset Records'!A7:A200)</x:f>
        <x:v>7</x:v>
      </x:c>
      <x:c r="D6" s="49" t="str">
        <x:v>A blank completion record does not prove that maintenance was not performed. It does mean Northstar cannot demonstrate completion or an approved deferral. Product and equipment risk still require a qualified human decision.</x:v>
      </x:c>
      <x:c r="E6" s="50"/>
      <x:c r="F6" s="50"/>
      <x:c r="G6" s="50"/>
      <x:c r="H6" s="51"/>
    </x:row>
    <x:row r="7">
      <x:c r="A7" s="25" t="str">
        <x:v>Current</x:v>
      </x:c>
      <x:c r="B7" s="25" t="n">
        <x:f>COUNTIF('Asset Records'!K7:K200,"Current")</x:f>
        <x:v>4</x:v>
      </x:c>
      <x:c r="D7" s="52"/>
      <x:c r="E7" s="53"/>
      <x:c r="F7" s="53"/>
      <x:c r="G7" s="53"/>
      <x:c r="H7" s="54"/>
    </x:row>
    <x:row r="8">
      <x:c r="A8" s="25" t="str">
        <x:v>Overdue / evidence missing</x:v>
      </x:c>
      <x:c r="B8" s="25" t="n">
        <x:f>COUNTIF('Asset Records'!K7:K200,"Overdue")</x:f>
        <x:v>3</x:v>
      </x:c>
      <x:c r="D8" s="52"/>
      <x:c r="E8" s="53"/>
      <x:c r="F8" s="53"/>
      <x:c r="G8" s="53"/>
      <x:c r="H8" s="54"/>
    </x:row>
    <x:row r="9">
      <x:c r="A9" s="25" t="str">
        <x:v>Overdue item with recorded use</x:v>
      </x:c>
      <x:c r="B9" s="25" t="n">
        <x:f>COUNTIFS('Asset Records'!K7:K200,"Overdue",'Asset Records'!L7:L200,"Yes")</x:f>
        <x:v>3</x:v>
      </x:c>
      <x:c r="D9" s="55"/>
      <x:c r="E9" s="56"/>
      <x:c r="F9" s="56"/>
      <x:c r="G9" s="56"/>
      <x:c r="H9" s="57"/>
    </x:row>
  </x:sheetData>
  <x:mergeCells>
    <x:mergeCell ref="A1:H1"/>
    <x:mergeCell ref="A2:H2"/>
    <x:mergeCell ref="A3:H3"/>
    <x:mergeCell ref="D5:H5"/>
    <x:mergeCell ref="D6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3" hidden="0" customWidth="1"/>
    <x:col min="4" max="4" width="18" hidden="0" customWidth="1"/>
    <x:col min="5" max="5" width="13" hidden="0" customWidth="1"/>
    <x:col min="6" max="6" width="19" hidden="0" customWidth="1"/>
    <x:col min="7" max="7" width="15" hidden="0" customWidth="1"/>
    <x:col min="8" max="8" width="24" hidden="0" customWidth="1"/>
    <x:col min="9" max="9" width="13" hidden="0" customWidth="1"/>
    <x:col min="10" max="10" width="16" hidden="0" customWidth="1"/>
    <x:col min="11" max="11" width="12" hidden="0" customWidth="1"/>
    <x:col min="12" max="12" width="14" hidden="0" customWidth="1"/>
    <x:col min="13" max="13" width="42" hidden="0" customWidth="1"/>
  </x:cols>
  <x:sheetData>
    <x:row r="1" ht="34" customHeight="1">
      <x:c r="A1" s="3" t="str">
        <x:v>Asset Records</x:v>
      </x:c>
    </x:row>
    <x:row r="2" ht="26" customHeight="1">
      <x:c r="A2" s="6" t="str">
        <x:v>Preventive maintenance and calibration detail • Status date: 16 July 2026</x:v>
      </x:c>
    </x:row>
    <x:row r="3" ht="20" customHeight="1">
      <x:c r="A3" s="8" t="str">
        <x:v>SYNTHETIC VALIDATION EVIDENCE • Fictional company • No real customer or employee data</x:v>
      </x:c>
    </x:row>
    <x:row r="5">
      <x:c r="A5" s="59" t="str">
        <x:v>Status is formula-driven from required date and recorded completion; 'Used after due?' references the Usage Log.</x:v>
      </x:c>
    </x:row>
    <x:row r="6" ht="30" customHeight="1">
      <x:c r="A6" s="17" t="str">
        <x:v>Asset ID</x:v>
      </x:c>
      <x:c r="B6" s="29" t="str">
        <x:v>Asset / instrument</x:v>
      </x:c>
      <x:c r="C6" s="29" t="str">
        <x:v>Control type</x:v>
      </x:c>
      <x:c r="D6" s="29" t="str">
        <x:v>Area</x:v>
      </x:c>
      <x:c r="E6" s="29" t="str">
        <x:v>Required date</x:v>
      </x:c>
      <x:c r="F6" s="29" t="str">
        <x:v>Expected record</x:v>
      </x:c>
      <x:c r="G6" s="29" t="str">
        <x:v>Recorded completion</x:v>
      </x:c>
      <x:c r="H6" s="29" t="str">
        <x:v>Result / disposition</x:v>
      </x:c>
      <x:c r="I6" s="29" t="str">
        <x:v>Next due</x:v>
      </x:c>
      <x:c r="J6" s="29" t="str">
        <x:v>Approved deferral</x:v>
      </x:c>
      <x:c r="K6" s="29" t="str">
        <x:v>Status</x:v>
      </x:c>
      <x:c r="L6" s="29" t="str">
        <x:v>Used after due?</x:v>
      </x:c>
      <x:c r="M6" s="18" t="str">
        <x:v>Evidence note</x:v>
      </x:c>
    </x:row>
    <x:row r="7" ht="52" customHeight="1">
      <x:c r="A7" s="24" t="str">
        <x:v>HF-1500</x:v>
      </x:c>
      <x:c r="B7" s="24" t="str">
        <x:v>Höfler Rapid 1500</x:v>
      </x:c>
      <x:c r="C7" s="24" t="str">
        <x:v>Preventive maintenance</x:v>
      </x:c>
      <x:c r="D7" s="24" t="str">
        <x:v>M-14</x:v>
      </x:c>
      <x:c r="E7" s="60" t="n">
        <x:v>46173</x:v>
      </x:c>
      <x:c r="F7" s="24" t="str">
        <x:v>WO-PM-260531</x:v>
      </x:c>
      <x:c r="G7" s="60"/>
      <x:c r="H7" s="24" t="str"/>
      <x:c r="I7" s="60"/>
      <x:c r="J7" s="24" t="str">
        <x:v>No</x:v>
      </x:c>
      <x:c r="K7" s="24" t="str">
        <x:f>IF(G7&lt;&gt;"","Current",IF(DATE(2026,7,16)&gt;E7,"Overdue","Due"))</x:f>
        <x:v>Overdue</x:v>
      </x:c>
      <x:c r="L7" s="24" t="str">
        <x:v>Yes</x:v>
      </x:c>
      <x:c r="M7" s="24" t="str">
        <x:v>Asset operated on 3, 10, 17, and 21 June; no migrated work order or deferral located.</x:v>
      </x:c>
    </x:row>
    <x:row r="8" ht="52" customHeight="1">
      <x:c r="A8" s="25" t="str">
        <x:v>HF-2600</x:v>
      </x:c>
      <x:c r="B8" s="25" t="str">
        <x:v>Höfler Rapid 2600</x:v>
      </x:c>
      <x:c r="C8" s="25" t="str">
        <x:v>Preventive maintenance</x:v>
      </x:c>
      <x:c r="D8" s="25" t="str">
        <x:v>M-14</x:v>
      </x:c>
      <x:c r="E8" s="61" t="n">
        <x:v>46180</x:v>
      </x:c>
      <x:c r="F8" s="25" t="str">
        <x:v>WO-PM-260607</x:v>
      </x:c>
      <x:c r="G8" s="61"/>
      <x:c r="H8" s="25" t="str"/>
      <x:c r="I8" s="61"/>
      <x:c r="J8" s="25" t="str">
        <x:v>No</x:v>
      </x:c>
      <x:c r="K8" s="25" t="str">
        <x:f>IF(G8&lt;&gt;"","Current",IF(DATE(2026,7,16)&gt;E8,"Overdue","Due"))</x:f>
        <x:v>Overdue</x:v>
      </x:c>
      <x:c r="L8" s="25" t="str">
        <x:v>Yes</x:v>
      </x:c>
      <x:c r="M8" s="25" t="str">
        <x:v>Asset operated on 12 and 20 June; no migrated work order or deferral located.</x:v>
      </x:c>
    </x:row>
    <x:row r="9" ht="52" customHeight="1">
      <x:c r="A9" s="25" t="str">
        <x:v>CMM-3</x:v>
      </x:c>
      <x:c r="B9" s="25" t="str">
        <x:v>Coordinate measuring machine</x:v>
      </x:c>
      <x:c r="C9" s="25" t="str">
        <x:v>Preventive maintenance</x:v>
      </x:c>
      <x:c r="D9" s="25" t="str">
        <x:v>Quality Lab</x:v>
      </x:c>
      <x:c r="E9" s="61" t="n">
        <x:v>46203</x:v>
      </x:c>
      <x:c r="F9" s="25" t="str">
        <x:v>WO-PM-260630</x:v>
      </x:c>
      <x:c r="G9" s="61" t="n">
        <x:v>46201</x:v>
      </x:c>
      <x:c r="H9" s="25" t="str">
        <x:v>Completed; no adverse condition</x:v>
      </x:c>
      <x:c r="I9" s="61" t="n">
        <x:v>46386</x:v>
      </x:c>
      <x:c r="J9" s="25" t="str">
        <x:v>N/A</x:v>
      </x:c>
      <x:c r="K9" s="25" t="str">
        <x:f>IF(G9&lt;&gt;"","Current",IF(DATE(2026,7,16)&gt;E9,"Overdue","Due"))</x:f>
        <x:v>Current</x:v>
      </x:c>
      <x:c r="L9" s="25" t="str">
        <x:v>No</x:v>
      </x:c>
      <x:c r="M9" s="25" t="str">
        <x:v>Service report SR-6618 attached in CMMS.</x:v>
      </x:c>
    </x:row>
    <x:row r="10" ht="52" customHeight="1">
      <x:c r="A10" s="25" t="str">
        <x:v>AC-2</x:v>
      </x:c>
      <x:c r="B10" s="25" t="str">
        <x:v>Plant air compressor 2</x:v>
      </x:c>
      <x:c r="C10" s="25" t="str">
        <x:v>Preventive maintenance</x:v>
      </x:c>
      <x:c r="D10" s="25" t="str">
        <x:v>Utilities</x:v>
      </x:c>
      <x:c r="E10" s="61" t="n">
        <x:v>46208</x:v>
      </x:c>
      <x:c r="F10" s="25" t="str">
        <x:v>WO-PM-260705</x:v>
      </x:c>
      <x:c r="G10" s="61" t="n">
        <x:v>46206</x:v>
      </x:c>
      <x:c r="H10" s="25" t="str">
        <x:v>Completed; filters replaced</x:v>
      </x:c>
      <x:c r="I10" s="61" t="n">
        <x:v>46300</x:v>
      </x:c>
      <x:c r="J10" s="25" t="str">
        <x:v>N/A</x:v>
      </x:c>
      <x:c r="K10" s="25" t="str">
        <x:f>IF(G10&lt;&gt;"","Current",IF(DATE(2026,7,16)&gt;E10,"Overdue","Due"))</x:f>
        <x:v>Current</x:v>
      </x:c>
      <x:c r="L10" s="25" t="str">
        <x:v>No</x:v>
      </x:c>
      <x:c r="M10" s="25" t="str">
        <x:v>Work order signed by maintenance lead.</x:v>
      </x:c>
    </x:row>
    <x:row r="11" ht="52" customHeight="1">
      <x:c r="A11" s="25" t="str">
        <x:v>GR-882</x:v>
      </x:c>
      <x:c r="B11" s="25" t="str">
        <x:v>Digital bore gauge</x:v>
      </x:c>
      <x:c r="C11" s="25" t="str">
        <x:v>Calibration</x:v>
      </x:c>
      <x:c r="D11" s="25" t="str">
        <x:v>Final Inspection</x:v>
      </x:c>
      <x:c r="E11" s="61" t="n">
        <x:v>46191</x:v>
      </x:c>
      <x:c r="F11" s="25" t="str">
        <x:v>CAL-26-188</x:v>
      </x:c>
      <x:c r="G11" s="61" t="n">
        <x:v>46191</x:v>
      </x:c>
      <x:c r="H11" s="25" t="str">
        <x:v>Within specification</x:v>
      </x:c>
      <x:c r="I11" s="61" t="n">
        <x:v>46374</x:v>
      </x:c>
      <x:c r="J11" s="25" t="str">
        <x:v>N/A</x:v>
      </x:c>
      <x:c r="K11" s="25" t="str">
        <x:f>IF(G11&lt;&gt;"","Current",IF(DATE(2026,7,16)&gt;E11,"Overdue","Due"))</x:f>
        <x:v>Current</x:v>
      </x:c>
      <x:c r="L11" s="25" t="str">
        <x:v>No</x:v>
      </x:c>
      <x:c r="M11" s="25" t="str">
        <x:v>Traceability and certificate included in Clean Evidence Packet.</x:v>
      </x:c>
    </x:row>
    <x:row r="12" ht="52" customHeight="1">
      <x:c r="A12" s="25" t="str">
        <x:v>TW-118</x:v>
      </x:c>
      <x:c r="B12" s="25" t="str">
        <x:v>Digital torque wrench</x:v>
      </x:c>
      <x:c r="C12" s="25" t="str">
        <x:v>Calibration</x:v>
      </x:c>
      <x:c r="D12" s="25" t="str">
        <x:v>Final Inspection</x:v>
      </x:c>
      <x:c r="E12" s="61" t="n">
        <x:v>46188</x:v>
      </x:c>
      <x:c r="F12" s="25" t="str">
        <x:v>CAL-26-205</x:v>
      </x:c>
      <x:c r="G12" s="61"/>
      <x:c r="H12" s="25" t="str"/>
      <x:c r="I12" s="61"/>
      <x:c r="J12" s="25" t="str">
        <x:v>No</x:v>
      </x:c>
      <x:c r="K12" s="25" t="str">
        <x:f>IF(G12&lt;&gt;"","Current",IF(DATE(2026,7,16)&gt;E12,"Overdue","Due"))</x:f>
        <x:v>Overdue</x:v>
      </x:c>
      <x:c r="L12" s="25" t="str">
        <x:v>Yes</x:v>
      </x:c>
      <x:c r="M12" s="25" t="str">
        <x:v>Usage Log records fixture setup for lot L26-0619 on 20 June after calibration due date.</x:v>
      </x:c>
    </x:row>
    <x:row r="13" ht="52" customHeight="1">
      <x:c r="A13" s="25" t="str">
        <x:v>GA-884</x:v>
      </x:c>
      <x:c r="B13" s="25" t="str">
        <x:v>Thread plug gauge M12</x:v>
      </x:c>
      <x:c r="C13" s="25" t="str">
        <x:v>Calibration</x:v>
      </x:c>
      <x:c r="D13" s="25" t="str">
        <x:v>Final Inspection</x:v>
      </x:c>
      <x:c r="E13" s="61" t="n">
        <x:v>46204</x:v>
      </x:c>
      <x:c r="F13" s="25" t="str">
        <x:v>CAL-26-219</x:v>
      </x:c>
      <x:c r="G13" s="61" t="n">
        <x:v>46202</x:v>
      </x:c>
      <x:c r="H13" s="25" t="str">
        <x:v>Within specification</x:v>
      </x:c>
      <x:c r="I13" s="61" t="n">
        <x:v>46385</x:v>
      </x:c>
      <x:c r="J13" s="25" t="str">
        <x:v>N/A</x:v>
      </x:c>
      <x:c r="K13" s="25" t="str">
        <x:f>IF(G13&lt;&gt;"","Current",IF(DATE(2026,7,16)&gt;E13,"Overdue","Due"))</x:f>
        <x:v>Current</x:v>
      </x:c>
      <x:c r="L13" s="25" t="str">
        <x:v>No</x:v>
      </x:c>
      <x:c r="M13" s="25" t="str">
        <x:v>Certificate CAL-26-219 reviewed and approved.</x:v>
      </x:c>
    </x:row>
  </x:sheetData>
  <x:mergeCells>
    <x:mergeCell ref="A1:M1"/>
    <x:mergeCell ref="A2:M2"/>
    <x:mergeCell ref="A3:M3"/>
    <x:mergeCell ref="A5:M5"/>
  </x:mergeCells>
  <x:conditionalFormatting sqref="K7:K200">
    <x:cfRule type="containsText" dxfId="0" priority="1" operator="containsText" text="Overdue"/>
    <x:cfRule type="containsText" dxfId="1" priority="2" operator="containsText" text="Current"/>
    <x:cfRule type="containsText" dxfId="2" priority="3" operator="containsText" text="Closed"/>
    <x:cfRule type="containsText" dxfId="3" priority="4" operator="containsText" text="Open"/>
  </x:conditionalFormatting>
  <x:dataValidations count="2">
    <x:dataValidation type="list" sqref="J7:J200">
      <x:formula1>"Yes,No,N/A"</x:formula1>
    </x:dataValidation>
    <x:dataValidation type="list" sqref="L7:L200">
      <x:formula1>"Yes,No"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32" hidden="0" customWidth="1"/>
    <x:col min="5" max="5" width="18" hidden="0" customWidth="1"/>
    <x:col min="6" max="6" width="16" hidden="0" customWidth="1"/>
    <x:col min="7" max="7" width="16" hidden="0" customWidth="1"/>
    <x:col min="8" max="8" width="22" hidden="0" customWidth="1"/>
  </x:cols>
  <x:sheetData>
    <x:row r="1" ht="34" customHeight="1">
      <x:c r="A1" s="3" t="str">
        <x:v>Controlled Equipment Usage Log</x:v>
      </x:c>
    </x:row>
    <x:row r="2" ht="26" customHeight="1">
      <x:c r="A2" s="6" t="str">
        <x:v>Sampled records relevant to the asset-status review</x:v>
      </x:c>
    </x:row>
    <x:row r="3" ht="20" customHeight="1">
      <x:c r="A3" s="8" t="str">
        <x:v>SYNTHETIC VALIDATION EVIDENCE • Fictional company • No real customer or employee data</x:v>
      </x:c>
    </x:row>
    <x:row r="5" ht="30" customHeight="1">
      <x:c r="A5" s="17" t="str">
        <x:v>Date</x:v>
      </x:c>
      <x:c r="B5" s="29" t="str">
        <x:v>Asset ID</x:v>
      </x:c>
      <x:c r="C5" s="29" t="str">
        <x:v>Area</x:v>
      </x:c>
      <x:c r="D5" s="29" t="str">
        <x:v>Purpose</x:v>
      </x:c>
      <x:c r="E5" s="29" t="str">
        <x:v>Lot / work order</x:v>
      </x:c>
      <x:c r="F5" s="29" t="str">
        <x:v>User</x:v>
      </x:c>
      <x:c r="G5" s="29" t="str">
        <x:v>Result</x:v>
      </x:c>
      <x:c r="H5" s="18" t="str">
        <x:v>Record reference</x:v>
      </x:c>
    </x:row>
    <x:row r="6">
      <x:c r="A6" s="60" t="n">
        <x:v>46193</x:v>
      </x:c>
      <x:c r="B6" s="24" t="str">
        <x:v>TW-118</x:v>
      </x:c>
      <x:c r="C6" s="24" t="str">
        <x:v>Final Inspection</x:v>
      </x:c>
      <x:c r="D6" s="24" t="str">
        <x:v>Fixture setup torque verification</x:v>
      </x:c>
      <x:c r="E6" s="24" t="str">
        <x:v>L26-0619</x:v>
      </x:c>
      <x:c r="F6" s="24" t="str">
        <x:v>J. Kim</x:v>
      </x:c>
      <x:c r="G6" s="24" t="str">
        <x:v>Accepted</x:v>
      </x:c>
      <x:c r="H6" s="24" t="str">
        <x:v>FI-410-260620</x:v>
      </x:c>
    </x:row>
    <x:row r="7">
      <x:c r="A7" s="61" t="n">
        <x:v>46194</x:v>
      </x:c>
      <x:c r="B7" s="25" t="str">
        <x:v>HF-1500</x:v>
      </x:c>
      <x:c r="C7" s="25" t="str">
        <x:v>M-14</x:v>
      </x:c>
      <x:c r="D7" s="25" t="str">
        <x:v>HX-410 machining</x:v>
      </x:c>
      <x:c r="E7" s="25" t="str">
        <x:v>L26-0619</x:v>
      </x:c>
      <x:c r="F7" s="25" t="str">
        <x:v>A. Flores</x:v>
      </x:c>
      <x:c r="G7" s="25" t="str">
        <x:v>Run completed</x:v>
      </x:c>
      <x:c r="H7" s="25" t="str">
        <x:v>TRV-L26-0619</x:v>
      </x:c>
    </x:row>
    <x:row r="8">
      <x:c r="A8" s="61" t="n">
        <x:v>46193</x:v>
      </x:c>
      <x:c r="B8" s="25" t="str">
        <x:v>HF-2600</x:v>
      </x:c>
      <x:c r="C8" s="25" t="str">
        <x:v>M-14</x:v>
      </x:c>
      <x:c r="D8" s="25" t="str">
        <x:v>HX-410 finishing</x:v>
      </x:c>
      <x:c r="E8" s="25" t="str">
        <x:v>L26-0618</x:v>
      </x:c>
      <x:c r="F8" s="25" t="str">
        <x:v>K. Webb</x:v>
      </x:c>
      <x:c r="G8" s="25" t="str">
        <x:v>Run completed</x:v>
      </x:c>
      <x:c r="H8" s="25" t="str">
        <x:v>TRV-L26-0618</x:v>
      </x:c>
    </x:row>
    <x:row r="9">
      <x:c r="A9" s="61" t="n">
        <x:v>46195</x:v>
      </x:c>
      <x:c r="B9" s="25" t="str">
        <x:v>GR-882</x:v>
      </x:c>
      <x:c r="C9" s="25" t="str">
        <x:v>Final Inspection</x:v>
      </x:c>
      <x:c r="D9" s="25" t="str">
        <x:v>Bore measurement</x:v>
      </x:c>
      <x:c r="E9" s="25" t="str">
        <x:v>L26-0622</x:v>
      </x:c>
      <x:c r="F9" s="25" t="str">
        <x:v>L. Nguyen</x:v>
      </x:c>
      <x:c r="G9" s="25" t="str">
        <x:v>Accepted</x:v>
      </x:c>
      <x:c r="H9" s="25" t="str">
        <x:v>FI-410-260622</x:v>
      </x:c>
    </x:row>
    <x:row r="10">
      <x:c r="A10" s="61" t="n">
        <x:v>46205</x:v>
      </x:c>
      <x:c r="B10" s="25" t="str">
        <x:v>GA-884</x:v>
      </x:c>
      <x:c r="C10" s="25" t="str">
        <x:v>Final Inspection</x:v>
      </x:c>
      <x:c r="D10" s="25" t="str">
        <x:v>Thread verification</x:v>
      </x:c>
      <x:c r="E10" s="25" t="str">
        <x:v>L26-0702</x:v>
      </x:c>
      <x:c r="F10" s="25" t="str">
        <x:v>L. Nguyen</x:v>
      </x:c>
      <x:c r="G10" s="25" t="str">
        <x:v>Accepted</x:v>
      </x:c>
      <x:c r="H10" s="25" t="str">
        <x:v>FI-320-260702</x:v>
      </x:c>
    </x:row>
  </x:sheetData>
  <x:mergeCells>
    <x:mergeCell ref="A1:H1"/>
    <x:mergeCell ref="A2:H2"/>
    <x:mergeCell ref="A3:H3"/>
  </x:mergeCells>
  <x:pageMargins left="0.7" right="0.7" top="0.75" bottom="0.75" header="0.3" footer="0.3"/>
</x:worksheet>
</file>