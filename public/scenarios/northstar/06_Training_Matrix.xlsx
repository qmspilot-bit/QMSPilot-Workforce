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1ac4f317d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c0cc7b00dc4617"/>
    <x:sheet xmlns:r="http://schemas.openxmlformats.org/officeDocument/2006/relationships" name="Training Matrix" sheetId="2" r:id="R13f693b88d9645fe"/>
    <x:sheet xmlns:r="http://schemas.openxmlformats.org/officeDocument/2006/relationships" name="Requirements" sheetId="3" r:id="R3acef3dcbb0a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yyyy-mm-dd"/>
  </x:numFmts>
  <x:fonts count="8">
    <x:font>
      <x:sz val="11"/>
      <x:name val="Carlito"/>
    </x:font>
    <x:font>
      <x:b/>
      <x:sz val="20"/>
      <x:color rgb="FFFFFFFF"/>
      <x:name val="Aptos Display"/>
    </x:font>
    <x:font>
      <x:i/>
      <x:sz val="10"/>
      <x:color rgb="FF66758E"/>
      <x:name val="Aptos"/>
    </x:font>
    <x:font>
      <x:b/>
      <x:sz val="8"/>
      <x:color rgb="FFC68619"/>
      <x:name val="Aptos"/>
    </x:font>
    <x:font>
      <x:b/>
      <x:sz val="9"/>
      <x:color rgb="FFFFFFFF"/>
      <x:name val="Aptos"/>
    </x:font>
    <x:font>
      <x:sz val="9"/>
      <x:color rgb="FF182033"/>
      <x:name val="Aptos"/>
    </x:font>
    <x:font>
      <x:sz val="11"/>
      <x:color rgb="FF182033"/>
      <x:name val="Aptos"/>
    </x:font>
    <x:font>
      <x:sz val="9"/>
      <x:color rgb="FF66758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F0FB"/>
      </x:patternFill>
    </x:fill>
    <x:fill>
      <x:patternFill patternType="solid">
        <x:fgColor rgb="FF1457C9"/>
      </x:patternFill>
    </x:fill>
    <x:fill>
      <x:patternFill patternType="solid">
        <x:fgColor rgb="FFFFF5DE"/>
      </x:patternFill>
    </x:fill>
    <x:fill>
      <x:patternFill patternType="solid">
        <x:fgColor rgb="FFF4F7FB"/>
      </x:patternFill>
    </x:fill>
  </x:fills>
  <x:borders count="14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bottom style="thin">
        <x:color rgb="FFD7E0EC"/>
      </x:bottom>
    </x:border>
    <x:border>
      <x:top style="thin">
        <x:color rgb="FFD7E0EC"/>
      </x:top>
      <x:bottom style="thin">
        <x:color rgb="FFD7E0EC"/>
      </x:bottom>
    </x:border>
    <x:border>
      <x:top style="thin">
        <x:color rgb="FF0B2545"/>
      </x:top>
      <x:bottom style="thin">
        <x:color rgb="FF0B2545"/>
      </x:bottom>
    </x:border>
    <x:border>
      <x:left style="thin">
        <x:color rgb="FFC68619"/>
      </x:left>
      <x:top style="thin">
        <x:color rgb="FFC68619"/>
      </x:top>
    </x:border>
    <x:border>
      <x:top style="thin">
        <x:color rgb="FFC68619"/>
      </x:top>
    </x:border>
    <x:border>
      <x:right style="thin">
        <x:color rgb="FFC68619"/>
      </x:right>
      <x:top style="thin">
        <x:color rgb="FFC68619"/>
      </x:top>
    </x:border>
    <x:border>
      <x:left style="thin">
        <x:color rgb="FFC68619"/>
      </x:left>
    </x:border>
    <x:border>
      <x:right style="thin">
        <x:color rgb="FFC68619"/>
      </x:right>
    </x:border>
    <x:border>
      <x:left style="thin">
        <x:color rgb="FFC68619"/>
      </x:left>
      <x:bottom style="thin">
        <x:color rgb="FFC68619"/>
      </x:bottom>
    </x:border>
    <x:border>
      <x:bottom style="thin">
        <x:color rgb="FFC68619"/>
      </x:bottom>
    </x:border>
    <x:border>
      <x:right style="thin">
        <x:color rgb="FFC68619"/>
      </x:right>
      <x:bottom style="thin">
        <x:color rgb="FFC68619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2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4" borderId="2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/>
    <x:xf numFmtId="0" fontId="4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horizontal="left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3" xfId="0" applyNumberFormat="1" applyFont="1" applyFill="1" applyBorder="1"/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0" fontId="6" fillId="5" borderId="1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201" fontId="5" fillId="0" borderId="3" xfId="0" applyNumberFormat="1" applyFont="1" applyFill="1" applyBorder="1" applyAlignment="1">
      <x:alignment vertical="top" wrapText="1"/>
    </x:xf>
    <x:xf numFmtId="201" fontId="5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CECEA"/>
        </x:patternFill>
      </x:fill>
    </x:dxf>
    <x:dxf>
      <x:font>
        <x:b/>
        <x:color rgb="FF158365"/>
      </x:font>
      <x:fill>
        <x:patternFill patternType="solid">
          <x:bgColor rgb="FFE8F7F1"/>
        </x:patternFill>
      </x:fill>
    </x:dxf>
    <x:dxf>
      <x:font>
        <x:b/>
        <x:color rgb="FF158365"/>
      </x:font>
      <x:fill>
        <x:patternFill patternType="solid">
          <x:bgColor rgb="FFE8F7F1"/>
        </x:patternFill>
      </x:fill>
    </x:dxf>
    <x:dxf>
      <x:font>
        <x:b/>
        <x:color rgb="FFC68619"/>
      </x:font>
      <x:fill>
        <x:patternFill patternType="solid">
          <x:bgColor rgb="FFFFF5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fe3a4206b4bd0" /><Relationship Type="http://schemas.openxmlformats.org/officeDocument/2006/relationships/theme" Target="/xl/theme/theme1.xml" Id="R43bc72339caa47bf" /><Relationship Type="http://schemas.openxmlformats.org/officeDocument/2006/relationships/sharedStrings" Target="/xl/sharedStrings.xml" Id="R1985a1d68458413e" /><Relationship Type="http://schemas.openxmlformats.org/officeDocument/2006/relationships/worksheet" Target="/xl/worksheets/sheet1.xml" Id="R9fc0cc7b00dc4617" /><Relationship Type="http://schemas.openxmlformats.org/officeDocument/2006/relationships/worksheet" Target="/xl/worksheets/sheet2.xml" Id="R13f693b88d9645fe" /><Relationship Type="http://schemas.openxmlformats.org/officeDocument/2006/relationships/worksheet" Target="/xl/worksheets/sheet3.xml" Id="R3acef3dcbb0a4f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Northstar Competence and Training Summary</x:v>
      </x:c>
    </x:row>
    <x:row r="2" ht="26" customHeight="1">
      <x:c r="A2" s="6" t="str">
        <x:v>Affected-population detail for WI-410 Revision C • Status date: 16 July 2026</x:v>
      </x:c>
    </x:row>
    <x:row r="3" ht="20" customHeight="1">
      <x:c r="A3" s="8" t="str">
        <x:v>SYNTHETIC VALIDATION EVIDENCE • Fictional company • No real customer or employee data</x:v>
      </x:c>
    </x:row>
    <x:row r="5" ht="30" customHeight="1">
      <x:c r="A5" s="17" t="str">
        <x:v>Metric</x:v>
      </x:c>
      <x:c r="B5" s="18" t="str">
        <x:v>Value</x:v>
      </x:c>
      <x:c r="D5" s="17" t="str">
        <x:v>Reconciliation note</x:v>
      </x:c>
      <x:c r="E5" s="30"/>
      <x:c r="F5" s="30"/>
      <x:c r="G5" s="30"/>
      <x:c r="H5" s="18"/>
    </x:row>
    <x:row r="6">
      <x:c r="A6" s="24" t="str">
        <x:v>Required assignments</x:v>
      </x:c>
      <x:c r="B6" s="24" t="n">
        <x:f>COUNTA('Training Matrix'!A7:A200)</x:f>
        <x:v>8</x:v>
      </x:c>
      <x:c r="D6" s="50" t="str">
        <x:v>Management review reported 98% completion. This workbook is the affected-population detail for WI-410 Revision C and should be reconciled to the dashboard before leadership relies on that percentage.</x:v>
      </x:c>
      <x:c r="E6" s="51"/>
      <x:c r="F6" s="51"/>
      <x:c r="G6" s="51"/>
      <x:c r="H6" s="52"/>
    </x:row>
    <x:row r="7">
      <x:c r="A7" s="25" t="str">
        <x:v>Current</x:v>
      </x:c>
      <x:c r="B7" s="25" t="n">
        <x:f>COUNTIF('Training Matrix'!J7:J200,"Current")</x:f>
        <x:v>6</x:v>
      </x:c>
      <x:c r="D7" s="53"/>
      <x:c r="E7" s="54"/>
      <x:c r="F7" s="54"/>
      <x:c r="G7" s="54"/>
      <x:c r="H7" s="55"/>
    </x:row>
    <x:row r="8">
      <x:c r="A8" s="25" t="str">
        <x:v>Overdue</x:v>
      </x:c>
      <x:c r="B8" s="25" t="n">
        <x:f>COUNTIF('Training Matrix'!J7:J200,"Overdue")</x:f>
        <x:v>2</x:v>
      </x:c>
      <x:c r="D8" s="53"/>
      <x:c r="E8" s="54"/>
      <x:c r="F8" s="54"/>
      <x:c r="G8" s="54"/>
      <x:c r="H8" s="55"/>
    </x:row>
    <x:row r="9">
      <x:c r="A9" s="25" t="str">
        <x:v>Completion rate</x:v>
      </x:c>
      <x:c r="B9" s="26" t="n">
        <x:f>IF(B6=0,0,B7/B6)</x:f>
        <x:v>0.75</x:v>
      </x:c>
      <x:c r="D9" s="56"/>
      <x:c r="E9" s="57"/>
      <x:c r="F9" s="57"/>
      <x:c r="G9" s="57"/>
      <x:c r="H9" s="58"/>
    </x:row>
  </x:sheetData>
  <x:mergeCells>
    <x:mergeCell ref="A1:H1"/>
    <x:mergeCell ref="A2:H2"/>
    <x:mergeCell ref="A3:H3"/>
    <x:mergeCell ref="D5:H5"/>
    <x:mergeCell ref="D6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0" hidden="0" customWidth="1"/>
    <x:col min="4" max="4" width="8" hidden="0" customWidth="1"/>
    <x:col min="5" max="5" width="24" hidden="0" customWidth="1"/>
    <x:col min="6" max="6" width="20" hidden="0" customWidth="1"/>
    <x:col min="7" max="7" width="12" hidden="0" customWidth="1"/>
    <x:col min="8" max="8" width="12" hidden="0" customWidth="1"/>
    <x:col min="9" max="9" width="26" hidden="0" customWidth="1"/>
    <x:col min="10" max="10" width="12" hidden="0" customWidth="1"/>
    <x:col min="11" max="11" width="35" hidden="0" customWidth="1"/>
  </x:cols>
  <x:sheetData>
    <x:row r="1" ht="34" customHeight="1">
      <x:c r="A1" s="3" t="str">
        <x:v>Training Matrix — WI-410 Revision C</x:v>
      </x:c>
    </x:row>
    <x:row r="2" ht="26" customHeight="1">
      <x:c r="A2" s="6" t="str">
        <x:v>Affected personnel assigned to HX-410 production and inspection • Status date: 16 July 2026</x:v>
      </x:c>
    </x:row>
    <x:row r="3" ht="20" customHeight="1">
      <x:c r="A3" s="8" t="str">
        <x:v>SYNTHETIC VALIDATION EVIDENCE • Fictional company • No real customer or employee data</x:v>
      </x:c>
    </x:row>
    <x:row r="5">
      <x:c r="A5" s="60" t="str">
        <x:v>Requirement: complete training before independent use; supervisors record qualification evidence and any work restriction.</x:v>
      </x:c>
    </x:row>
    <x:row r="6" ht="30" customHeight="1">
      <x:c r="A6" s="17" t="str">
        <x:v>Employee ID</x:v>
      </x:c>
      <x:c r="B6" s="30" t="str">
        <x:v>Employee</x:v>
      </x:c>
      <x:c r="C6" s="30" t="str">
        <x:v>Role</x:v>
      </x:c>
      <x:c r="D6" s="30" t="str">
        <x:v>Shift</x:v>
      </x:c>
      <x:c r="E6" s="30" t="str">
        <x:v>Assigned work area</x:v>
      </x:c>
      <x:c r="F6" s="30" t="str">
        <x:v>Requirement</x:v>
      </x:c>
      <x:c r="G6" s="30" t="str">
        <x:v>Required by</x:v>
      </x:c>
      <x:c r="H6" s="30" t="str">
        <x:v>Completed</x:v>
      </x:c>
      <x:c r="I6" s="30" t="str">
        <x:v>Qualification evidence</x:v>
      </x:c>
      <x:c r="J6" s="30" t="str">
        <x:v>Status</x:v>
      </x:c>
      <x:c r="K6" s="18" t="str">
        <x:v>Restriction / note</x:v>
      </x:c>
    </x:row>
    <x:row r="7" ht="46" customHeight="1">
      <x:c r="A7" s="24" t="str">
        <x:v>E-1042</x:v>
      </x:c>
      <x:c r="B7" s="24" t="str">
        <x:v>A. Flores</x:v>
      </x:c>
      <x:c r="C7" s="24" t="str">
        <x:v>Machine Operator</x:v>
      </x:c>
      <x:c r="D7" s="24" t="str">
        <x:v>2</x:v>
      </x:c>
      <x:c r="E7" s="24" t="str">
        <x:v>M-14 / HX-410</x:v>
      </x:c>
      <x:c r="F7" s="24" t="str">
        <x:v>WI-410 Rev C</x:v>
      </x:c>
      <x:c r="G7" s="61" t="n">
        <x:v>46183</x:v>
      </x:c>
      <x:c r="H7" s="61"/>
      <x:c r="I7" s="24" t="str"/>
      <x:c r="J7" s="24" t="str">
        <x:f>IF(H7&lt;&gt;"","Current",IF(DATE(2026,7,16)&gt;G7,"Overdue","Due"))</x:f>
        <x:v>Overdue</x:v>
      </x:c>
      <x:c r="K7" s="24" t="str">
        <x:v>Assigned to lot L26-0619; no restriction recorded.</x:v>
      </x:c>
    </x:row>
    <x:row r="8" ht="46" customHeight="1">
      <x:c r="A8" s="25" t="str">
        <x:v>E-1188</x:v>
      </x:c>
      <x:c r="B8" s="25" t="str">
        <x:v>J. Kim</x:v>
      </x:c>
      <x:c r="C8" s="25" t="str">
        <x:v>Quality Inspector</x:v>
      </x:c>
      <x:c r="D8" s="25" t="str">
        <x:v>2</x:v>
      </x:c>
      <x:c r="E8" s="25" t="str">
        <x:v>Final inspection / HX-410</x:v>
      </x:c>
      <x:c r="F8" s="25" t="str">
        <x:v>WI-410 Rev C</x:v>
      </x:c>
      <x:c r="G8" s="62" t="n">
        <x:v>46183</x:v>
      </x:c>
      <x:c r="H8" s="62"/>
      <x:c r="I8" s="25" t="str"/>
      <x:c r="J8" s="25" t="str">
        <x:f>IF(H8&lt;&gt;"","Current",IF(DATE(2026,7,16)&gt;G8,"Overdue","Due"))</x:f>
        <x:v>Overdue</x:v>
      </x:c>
      <x:c r="K8" s="25" t="str">
        <x:v>Performed final inspection on lot L26-0619.</x:v>
      </x:c>
    </x:row>
    <x:row r="9" ht="46" customHeight="1">
      <x:c r="A9" s="25" t="str">
        <x:v>E-0991</x:v>
      </x:c>
      <x:c r="B9" s="25" t="str">
        <x:v>M. Santos</x:v>
      </x:c>
      <x:c r="C9" s="25" t="str">
        <x:v>Machine Operator</x:v>
      </x:c>
      <x:c r="D9" s="25" t="str">
        <x:v>1</x:v>
      </x:c>
      <x:c r="E9" s="25" t="str">
        <x:v>M-14 / HX-410</x:v>
      </x:c>
      <x:c r="F9" s="25" t="str">
        <x:v>WI-410 Rev C</x:v>
      </x:c>
      <x:c r="G9" s="62" t="n">
        <x:v>46183</x:v>
      </x:c>
      <x:c r="H9" s="62" t="n">
        <x:v>46185</x:v>
      </x:c>
      <x:c r="I9" s="25" t="str">
        <x:v>Observation QL-410-77</x:v>
      </x:c>
      <x:c r="J9" s="25" t="str">
        <x:f>IF(H9&lt;&gt;"","Current",IF(DATE(2026,7,16)&gt;G9,"Overdue","Due"))</x:f>
        <x:v>Current</x:v>
      </x:c>
      <x:c r="K9" s="25" t="str">
        <x:v>Qualified after supervised run.</x:v>
      </x:c>
    </x:row>
    <x:row r="10" ht="46" customHeight="1">
      <x:c r="A10" s="25" t="str">
        <x:v>E-0874</x:v>
      </x:c>
      <x:c r="B10" s="25" t="str">
        <x:v>R. Patel</x:v>
      </x:c>
      <x:c r="C10" s="25" t="str">
        <x:v>Line Supervisor</x:v>
      </x:c>
      <x:c r="D10" s="25" t="str">
        <x:v>1</x:v>
      </x:c>
      <x:c r="E10" s="25" t="str">
        <x:v>M-14 / HX-410</x:v>
      </x:c>
      <x:c r="F10" s="25" t="str">
        <x:v>NPS-PR-004 Rev C</x:v>
      </x:c>
      <x:c r="G10" s="62" t="n">
        <x:v>46143</x:v>
      </x:c>
      <x:c r="H10" s="62" t="n">
        <x:v>46140</x:v>
      </x:c>
      <x:c r="I10" s="25" t="str">
        <x:v>Acknowledgement TR-260428</x:v>
      </x:c>
      <x:c r="J10" s="25" t="str">
        <x:f>IF(H10&lt;&gt;"","Current",IF(DATE(2026,7,16)&gt;G10,"Overdue","Due"))</x:f>
        <x:v>Current</x:v>
      </x:c>
      <x:c r="K10" s="25" t="str">
        <x:v>Current.</x:v>
      </x:c>
    </x:row>
    <x:row r="11" ht="46" customHeight="1">
      <x:c r="A11" s="25" t="str">
        <x:v>E-1120</x:v>
      </x:c>
      <x:c r="B11" s="25" t="str">
        <x:v>S. Reed</x:v>
      </x:c>
      <x:c r="C11" s="25" t="str">
        <x:v>Line Supervisor</x:v>
      </x:c>
      <x:c r="D11" s="25" t="str">
        <x:v>2</x:v>
      </x:c>
      <x:c r="E11" s="25" t="str">
        <x:v>M-14 / HX-410</x:v>
      </x:c>
      <x:c r="F11" s="25" t="str">
        <x:v>NPS-PR-004 Rev C</x:v>
      </x:c>
      <x:c r="G11" s="62" t="n">
        <x:v>46143</x:v>
      </x:c>
      <x:c r="H11" s="62" t="n">
        <x:v>46141</x:v>
      </x:c>
      <x:c r="I11" s="25" t="str">
        <x:v>Acknowledgement TR-260429</x:v>
      </x:c>
      <x:c r="J11" s="25" t="str">
        <x:f>IF(H11&lt;&gt;"","Current",IF(DATE(2026,7,16)&gt;G11,"Overdue","Due"))</x:f>
        <x:v>Current</x:v>
      </x:c>
      <x:c r="K11" s="25" t="str">
        <x:v>Current.</x:v>
      </x:c>
    </x:row>
    <x:row r="12" ht="46" customHeight="1">
      <x:c r="A12" s="25" t="str">
        <x:v>E-1213</x:v>
      </x:c>
      <x:c r="B12" s="25" t="str">
        <x:v>L. Nguyen</x:v>
      </x:c>
      <x:c r="C12" s="25" t="str">
        <x:v>Quality Inspector</x:v>
      </x:c>
      <x:c r="D12" s="25" t="str">
        <x:v>1</x:v>
      </x:c>
      <x:c r="E12" s="25" t="str">
        <x:v>Final inspection / HX-410</x:v>
      </x:c>
      <x:c r="F12" s="25" t="str">
        <x:v>WI-410 Rev C</x:v>
      </x:c>
      <x:c r="G12" s="62" t="n">
        <x:v>46183</x:v>
      </x:c>
      <x:c r="H12" s="62" t="n">
        <x:v>46181</x:v>
      </x:c>
      <x:c r="I12" s="25" t="str">
        <x:v>Observation QL-410-72</x:v>
      </x:c>
      <x:c r="J12" s="25" t="str">
        <x:f>IF(H12&lt;&gt;"","Current",IF(DATE(2026,7,16)&gt;G12,"Overdue","Due"))</x:f>
        <x:v>Current</x:v>
      </x:c>
      <x:c r="K12" s="25" t="str">
        <x:v>Current.</x:v>
      </x:c>
    </x:row>
    <x:row r="13" ht="46" customHeight="1">
      <x:c r="A13" s="25" t="str">
        <x:v>E-1066</x:v>
      </x:c>
      <x:c r="B13" s="25" t="str">
        <x:v>K. Webb</x:v>
      </x:c>
      <x:c r="C13" s="25" t="str">
        <x:v>Machine Operator</x:v>
      </x:c>
      <x:c r="D13" s="25" t="str">
        <x:v>2</x:v>
      </x:c>
      <x:c r="E13" s="25" t="str">
        <x:v>M-14 / HX-410</x:v>
      </x:c>
      <x:c r="F13" s="25" t="str">
        <x:v>WI-410 Rev C</x:v>
      </x:c>
      <x:c r="G13" s="62" t="n">
        <x:v>46183</x:v>
      </x:c>
      <x:c r="H13" s="62" t="n">
        <x:v>46182</x:v>
      </x:c>
      <x:c r="I13" s="25" t="str">
        <x:v>Observation QL-410-73</x:v>
      </x:c>
      <x:c r="J13" s="25" t="str">
        <x:f>IF(H13&lt;&gt;"","Current",IF(DATE(2026,7,16)&gt;G13,"Overdue","Due"))</x:f>
        <x:v>Current</x:v>
      </x:c>
      <x:c r="K13" s="25" t="str">
        <x:v>Current.</x:v>
      </x:c>
    </x:row>
    <x:row r="14" ht="46" customHeight="1">
      <x:c r="A14" s="25" t="str">
        <x:v>E-1154</x:v>
      </x:c>
      <x:c r="B14" s="25" t="str">
        <x:v>D. Okafor</x:v>
      </x:c>
      <x:c r="C14" s="25" t="str">
        <x:v>Maintenance Technician</x:v>
      </x:c>
      <x:c r="D14" s="25" t="str">
        <x:v>1</x:v>
      </x:c>
      <x:c r="E14" s="25" t="str">
        <x:v>HF-series assets</x:v>
      </x:c>
      <x:c r="F14" s="25" t="str">
        <x:v>PM-STD-12 Rev B</x:v>
      </x:c>
      <x:c r="G14" s="62" t="n">
        <x:v>46157</x:v>
      </x:c>
      <x:c r="H14" s="62" t="n">
        <x:v>46154</x:v>
      </x:c>
      <x:c r="I14" s="25" t="str">
        <x:v>Qualification MT-551</x:v>
      </x:c>
      <x:c r="J14" s="25" t="str">
        <x:f>IF(H14&lt;&gt;"","Current",IF(DATE(2026,7,16)&gt;G14,"Overdue","Due"))</x:f>
        <x:v>Current</x:v>
      </x:c>
      <x:c r="K14" s="25" t="str">
        <x:v>Current.</x:v>
      </x:c>
    </x:row>
  </x:sheetData>
  <x:mergeCells>
    <x:mergeCell ref="A1:K1"/>
    <x:mergeCell ref="A2:K2"/>
    <x:mergeCell ref="A3:K3"/>
    <x:mergeCell ref="A5:K5"/>
  </x:mergeCells>
  <x:conditionalFormatting sqref="J7:J200">
    <x:cfRule type="containsText" dxfId="0" priority="1" operator="containsText" text="Overdue"/>
    <x:cfRule type="containsText" dxfId="1" priority="2" operator="containsText" text="Current"/>
    <x:cfRule type="containsText" dxfId="2" priority="3" operator="containsText" text="Closed"/>
    <x:cfRule type="containsText" dxfId="3" priority="4" operator="containsText" text="Ope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0" hidden="0" customWidth="1"/>
    <x:col min="3" max="3" width="35" hidden="0" customWidth="1"/>
    <x:col min="4" max="4" width="38" hidden="0" customWidth="1"/>
    <x:col min="5" max="5" width="13" hidden="0" customWidth="1"/>
    <x:col min="6" max="6" width="20" hidden="0" customWidth="1"/>
  </x:cols>
  <x:sheetData>
    <x:row r="1" ht="34" customHeight="1">
      <x:c r="A1" s="3" t="str">
        <x:v>Training Requirements</x:v>
      </x:c>
    </x:row>
    <x:row r="2" ht="26" customHeight="1">
      <x:c r="A2" s="6" t="str">
        <x:v>Controlled requirements represented in the detailed matrix</x:v>
      </x:c>
    </x:row>
    <x:row r="3" ht="20" customHeight="1">
      <x:c r="A3" s="8" t="str">
        <x:v>SYNTHETIC VALIDATION EVIDENCE • Fictional company • No real customer or employee data</x:v>
      </x:c>
    </x:row>
    <x:row r="5" ht="30" customHeight="1">
      <x:c r="A5" s="17" t="str">
        <x:v>Requirement</x:v>
      </x:c>
      <x:c r="B5" s="30" t="str">
        <x:v>Revision</x:v>
      </x:c>
      <x:c r="C5" s="30" t="str">
        <x:v>Applies to</x:v>
      </x:c>
      <x:c r="D5" s="30" t="str">
        <x:v>Competence method</x:v>
      </x:c>
      <x:c r="E5" s="30" t="str">
        <x:v>Effective</x:v>
      </x:c>
      <x:c r="F5" s="18" t="str">
        <x:v>Record retention</x:v>
      </x:c>
    </x:row>
    <x:row r="6">
      <x:c r="A6" s="24" t="str">
        <x:v>WI-410 HX-410 machining and inspection</x:v>
      </x:c>
      <x:c r="B6" s="24" t="str">
        <x:v>C</x:v>
      </x:c>
      <x:c r="C6" s="24" t="str">
        <x:v>Operators and inspectors performing HX-410 work</x:v>
      </x:c>
      <x:c r="D6" s="24" t="str">
        <x:v>Read-and-understand plus observed independent job</x:v>
      </x:c>
      <x:c r="E6" s="61" t="n">
        <x:v>46183</x:v>
      </x:c>
      <x:c r="F6" s="24" t="str">
        <x:v>Employment + 3 years</x:v>
      </x:c>
    </x:row>
    <x:row r="7">
      <x:c r="A7" s="25" t="str">
        <x:v>NPS-PR-004 Document and Data Control</x:v>
      </x:c>
      <x:c r="B7" s="25" t="str">
        <x:v>C</x:v>
      </x:c>
      <x:c r="C7" s="25" t="str">
        <x:v>Document owners, supervisors, Quality Systems</x:v>
      </x:c>
      <x:c r="D7" s="25" t="str">
        <x:v>Read-and-understand acknowledgement</x:v>
      </x:c>
      <x:c r="E7" s="62" t="n">
        <x:v>46143</x:v>
      </x:c>
      <x:c r="F7" s="25" t="str">
        <x:v>Employment + 3 years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